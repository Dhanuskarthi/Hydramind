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ainfall_Data" sheetId="2" state="visible" r:id="rId4"/>
    <sheet name="Soil_Moisture_Sensors" sheetId="3" state="visible" r:id="rId5"/>
    <sheet name="Slope_Stability_Model" sheetId="4" state="visible" r:id="rId6"/>
    <sheet name="Historical_Landslide_Inventory" sheetId="5" state="visible" r:id="rId7"/>
    <sheet name="Realtime_IoT_Feed" sheetId="6" state="visible" r:id="rId8"/>
    <sheet name="Monitoring_Stations" sheetId="7" state="visible" r:id="rId9"/>
    <sheet name="Data_Sourc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<sst xmlns="http://schemas.openxmlformats.org/spreadsheetml/2006/main" count="5471" uniqueCount="323">
  <si>
    <t xml:space="preserve">Sample Landslide Early-Warning Dataset</t>
  </si>
  <si>
    <t xml:space="preserve">Region: Coonoor – Kotagiri – Kallar belt, Nilgiris District, Tamil Nadu (upper Bhavani river basin)</t>
  </si>
  <si>
    <t xml:space="preserve">IMPORTANT — READ FIRST</t>
  </si>
  <si>
    <t xml:space="preserve">Every value in this workbook (rainfall, soil moisture, IoT readings, slope inputs, and historical landslide records) is SYNTHETIC / ILLUSTRATIVE. It was generated to give you a realistic, correctly-structured multi-parameter dataset for prototyping, building a data pipeline, or training/testing an early-warning model. It is NOT observed data and must not be cited as fact or used for real risk decisions.</t>
  </si>
  <si>
    <t xml:space="preserve">Why this region</t>
  </si>
  <si>
    <t xml:space="preserve">The Nilgiris district (Western Ghats, Tamil Nadu) is one of India's most studied landslide-prone districts, with monsoon-triggered slope failures documented since the colonial era and formal GSI investigations beginning in 1979. Coonoor, Kotagiri and Kallar (on the Bhavani river's upper catchment / ghat roads) are recurring hotspots in GSI susceptibility studies, and GSI now issues experimental landslide forecast bulletins for the district. This makes it a realistic template region for an IoT + rainfall + slope model early-warning use case.</t>
  </si>
  <si>
    <t xml:space="preserve">What's inside</t>
  </si>
  <si>
    <t xml:space="preserve">•  Rainfall_Data — daily rainfall (mm) at 4 stations, 1 Jun–31 Aug 2024, with 3-day and 7-day antecedent cumulative totals (the standard rainfall-threshold predictors used in landslide studies).</t>
  </si>
  <si>
    <t xml:space="preserve">•  Soil_Moisture_Sensors — daily volumetric soil moisture (%) at 30 cm and 60 cm depth, co-located with each rain station, plus sensor battery/status fields.</t>
  </si>
  <si>
    <t xml:space="preserve">•  Slope_Stability_Model — 8 slope segments with geotechnical inputs (angle, soil depth, unit weight, cohesion, friction angle, pore-pressure ratio) and a LIVE FORMULA computing the infinite-slope Factor of Safety (FoS) and a risk category — edit any input cell and the FoS recalculates.</t>
  </si>
  <si>
    <t xml:space="preserve">•  Historical_Landslide_Inventory — 18 template records (date, village, approx. coordinates, trigger rainfall, type, severity) in the schema typically used for GSI/NDMA inventories — replace with verified events for real use.</t>
  </si>
  <si>
    <t xml:space="preserve">•  Realtime_IoT_Feed — 48 hours of hourly readings from 5 simulated field devices (tiltmeter, piezometer, geophone, tipping-bucket rain gauge, crackmeter) with threshold-based alert status — modeled as a live monitoring feed table.</t>
  </si>
  <si>
    <t xml:space="preserve">•  Data_Sources — where to obtain the REAL data for each parameter if you're building an actual system.</t>
  </si>
  <si>
    <t xml:space="preserve">Suggested uses</t>
  </si>
  <si>
    <t xml:space="preserve">Prototype a database schema or API payload · build/test a rainfall-threshold or ML landslide susceptibility model end-to-end before real sensors are deployed · design dashboards or alert logic · stress-test an IoT ingestion pipeline.</t>
  </si>
  <si>
    <t xml:space="preserve">Station_ID</t>
  </si>
  <si>
    <t xml:space="preserve">Location</t>
  </si>
  <si>
    <t xml:space="preserve">Date</t>
  </si>
  <si>
    <t xml:space="preserve">Rainfall_mm_24hr</t>
  </si>
  <si>
    <t xml:space="preserve">Cumulative_3day_mm</t>
  </si>
  <si>
    <t xml:space="preserve">Cumulative_7day_mm</t>
  </si>
  <si>
    <t xml:space="preserve">RS01</t>
  </si>
  <si>
    <t xml:space="preserve">Coonoor</t>
  </si>
  <si>
    <t xml:space="preserve">2024-06-01</t>
  </si>
  <si>
    <t xml:space="preserve">2024-06-02</t>
  </si>
  <si>
    <t xml:space="preserve">2024-06-03</t>
  </si>
  <si>
    <t xml:space="preserve">2024-06-04</t>
  </si>
  <si>
    <t xml:space="preserve">2024-06-05</t>
  </si>
  <si>
    <t xml:space="preserve">2024-06-06</t>
  </si>
  <si>
    <t xml:space="preserve">2024-06-07</t>
  </si>
  <si>
    <t xml:space="preserve">2024-06-08</t>
  </si>
  <si>
    <t xml:space="preserve">2024-06-09</t>
  </si>
  <si>
    <t xml:space="preserve">2024-06-10</t>
  </si>
  <si>
    <t xml:space="preserve">2024-06-11</t>
  </si>
  <si>
    <t xml:space="preserve">2024-06-12</t>
  </si>
  <si>
    <t xml:space="preserve">2024-06-13</t>
  </si>
  <si>
    <t xml:space="preserve">2024-06-14</t>
  </si>
  <si>
    <t xml:space="preserve">2024-06-15</t>
  </si>
  <si>
    <t xml:space="preserve">2024-06-16</t>
  </si>
  <si>
    <t xml:space="preserve">2024-06-17</t>
  </si>
  <si>
    <t xml:space="preserve">2024-06-18</t>
  </si>
  <si>
    <t xml:space="preserve">2024-06-19</t>
  </si>
  <si>
    <t xml:space="preserve">2024-06-20</t>
  </si>
  <si>
    <t xml:space="preserve">2024-06-21</t>
  </si>
  <si>
    <t xml:space="preserve">2024-06-22</t>
  </si>
  <si>
    <t xml:space="preserve">2024-06-23</t>
  </si>
  <si>
    <t xml:space="preserve">2024-06-24</t>
  </si>
  <si>
    <t xml:space="preserve">2024-06-25</t>
  </si>
  <si>
    <t xml:space="preserve">2024-06-26</t>
  </si>
  <si>
    <t xml:space="preserve">2024-06-27</t>
  </si>
  <si>
    <t xml:space="preserve">2024-06-28</t>
  </si>
  <si>
    <t xml:space="preserve">2024-06-29</t>
  </si>
  <si>
    <t xml:space="preserve">2024-06-30</t>
  </si>
  <si>
    <t xml:space="preserve">2024-07-01</t>
  </si>
  <si>
    <t xml:space="preserve">2024-07-02</t>
  </si>
  <si>
    <t xml:space="preserve">2024-07-03</t>
  </si>
  <si>
    <t xml:space="preserve">2024-07-04</t>
  </si>
  <si>
    <t xml:space="preserve">2024-07-05</t>
  </si>
  <si>
    <t xml:space="preserve">2024-07-06</t>
  </si>
  <si>
    <t xml:space="preserve">2024-07-07</t>
  </si>
  <si>
    <t xml:space="preserve">2024-07-08</t>
  </si>
  <si>
    <t xml:space="preserve">2024-07-09</t>
  </si>
  <si>
    <t xml:space="preserve">2024-07-10</t>
  </si>
  <si>
    <t xml:space="preserve">2024-07-11</t>
  </si>
  <si>
    <t xml:space="preserve">2024-07-12</t>
  </si>
  <si>
    <t xml:space="preserve">2024-07-13</t>
  </si>
  <si>
    <t xml:space="preserve">2024-07-14</t>
  </si>
  <si>
    <t xml:space="preserve">2024-07-15</t>
  </si>
  <si>
    <t xml:space="preserve">2024-07-16</t>
  </si>
  <si>
    <t xml:space="preserve">2024-07-17</t>
  </si>
  <si>
    <t xml:space="preserve">2024-07-18</t>
  </si>
  <si>
    <t xml:space="preserve">2024-07-19</t>
  </si>
  <si>
    <t xml:space="preserve">2024-07-20</t>
  </si>
  <si>
    <t xml:space="preserve">2024-07-21</t>
  </si>
  <si>
    <t xml:space="preserve">2024-07-22</t>
  </si>
  <si>
    <t xml:space="preserve">2024-07-23</t>
  </si>
  <si>
    <t xml:space="preserve">2024-07-24</t>
  </si>
  <si>
    <t xml:space="preserve">2024-07-25</t>
  </si>
  <si>
    <t xml:space="preserve">2024-07-26</t>
  </si>
  <si>
    <t xml:space="preserve">2024-07-27</t>
  </si>
  <si>
    <t xml:space="preserve">2024-07-28</t>
  </si>
  <si>
    <t xml:space="preserve">2024-07-29</t>
  </si>
  <si>
    <t xml:space="preserve">2024-07-30</t>
  </si>
  <si>
    <t xml:space="preserve">2024-07-31</t>
  </si>
  <si>
    <t xml:space="preserve">2024-08-01</t>
  </si>
  <si>
    <t xml:space="preserve">2024-08-02</t>
  </si>
  <si>
    <t xml:space="preserve">2024-08-03</t>
  </si>
  <si>
    <t xml:space="preserve">2024-08-04</t>
  </si>
  <si>
    <t xml:space="preserve">2024-08-05</t>
  </si>
  <si>
    <t xml:space="preserve">2024-08-06</t>
  </si>
  <si>
    <t xml:space="preserve">2024-08-07</t>
  </si>
  <si>
    <t xml:space="preserve">2024-08-08</t>
  </si>
  <si>
    <t xml:space="preserve">2024-08-09</t>
  </si>
  <si>
    <t xml:space="preserve">2024-08-10</t>
  </si>
  <si>
    <t xml:space="preserve">2024-08-11</t>
  </si>
  <si>
    <t xml:space="preserve">2024-08-12</t>
  </si>
  <si>
    <t xml:space="preserve">2024-08-13</t>
  </si>
  <si>
    <t xml:space="preserve">2024-08-14</t>
  </si>
  <si>
    <t xml:space="preserve">2024-08-15</t>
  </si>
  <si>
    <t xml:space="preserve">2024-08-16</t>
  </si>
  <si>
    <t xml:space="preserve">2024-08-17</t>
  </si>
  <si>
    <t xml:space="preserve">2024-08-18</t>
  </si>
  <si>
    <t xml:space="preserve">2024-08-19</t>
  </si>
  <si>
    <t xml:space="preserve">2024-08-20</t>
  </si>
  <si>
    <t xml:space="preserve">2024-08-21</t>
  </si>
  <si>
    <t xml:space="preserve">2024-08-22</t>
  </si>
  <si>
    <t xml:space="preserve">2024-08-23</t>
  </si>
  <si>
    <t xml:space="preserve">2024-08-24</t>
  </si>
  <si>
    <t xml:space="preserve">2024-08-25</t>
  </si>
  <si>
    <t xml:space="preserve">2024-08-26</t>
  </si>
  <si>
    <t xml:space="preserve">2024-08-27</t>
  </si>
  <si>
    <t xml:space="preserve">2024-08-28</t>
  </si>
  <si>
    <t xml:space="preserve">2024-08-29</t>
  </si>
  <si>
    <t xml:space="preserve">2024-08-30</t>
  </si>
  <si>
    <t xml:space="preserve">2024-08-31</t>
  </si>
  <si>
    <t xml:space="preserve">RS02</t>
  </si>
  <si>
    <t xml:space="preserve">Kotagiri</t>
  </si>
  <si>
    <t xml:space="preserve">RS03</t>
  </si>
  <si>
    <t xml:space="preserve">Kallar</t>
  </si>
  <si>
    <t xml:space="preserve">RS04</t>
  </si>
  <si>
    <t xml:space="preserve">Ooty</t>
  </si>
  <si>
    <t xml:space="preserve">Sensor_ID</t>
  </si>
  <si>
    <t xml:space="preserve">Depth_cm</t>
  </si>
  <si>
    <t xml:space="preserve">Soil_Moisture_pct</t>
  </si>
  <si>
    <t xml:space="preserve">Battery_pct</t>
  </si>
  <si>
    <t xml:space="preserve">Status</t>
  </si>
  <si>
    <t xml:space="preserve">SM-RS01-30</t>
  </si>
  <si>
    <t xml:space="preserve">OK</t>
  </si>
  <si>
    <t xml:space="preserve">SM-RS01-60</t>
  </si>
  <si>
    <t xml:space="preserve">SM-RS02-30</t>
  </si>
  <si>
    <t xml:space="preserve">SM-RS02-60</t>
  </si>
  <si>
    <t xml:space="preserve">SM-RS03-30</t>
  </si>
  <si>
    <t xml:space="preserve">SM-RS03-60</t>
  </si>
  <si>
    <t xml:space="preserve">SM-RS04-30</t>
  </si>
  <si>
    <t xml:space="preserve">SM-RS04-60</t>
  </si>
  <si>
    <t xml:space="preserve">Slope_ID</t>
  </si>
  <si>
    <t xml:space="preserve">Slope_Angle_deg</t>
  </si>
  <si>
    <t xml:space="preserve">Soil_Depth_m</t>
  </si>
  <si>
    <t xml:space="preserve">Unit_Weight_kNm3</t>
  </si>
  <si>
    <t xml:space="preserve">Cohesion_kPa</t>
  </si>
  <si>
    <t xml:space="preserve">Friction_Angle_deg</t>
  </si>
  <si>
    <t xml:space="preserve">Pore_Pressure_Ratio_ru</t>
  </si>
  <si>
    <t xml:space="preserve">Slope_Angle_rad</t>
  </si>
  <si>
    <t xml:space="preserve">Factor_of_Safety</t>
  </si>
  <si>
    <t xml:space="preserve">Risk_Category</t>
  </si>
  <si>
    <t xml:space="preserve">SL-01</t>
  </si>
  <si>
    <t xml:space="preserve">Coonoor - Burliyar Ghat Rd Km 12</t>
  </si>
  <si>
    <t xml:space="preserve">SL-02</t>
  </si>
  <si>
    <t xml:space="preserve">Kallar - Mettupalayam Rd Km 4</t>
  </si>
  <si>
    <t xml:space="preserve">SL-03</t>
  </si>
  <si>
    <t xml:space="preserve">Kotagiri - Aravenu slope</t>
  </si>
  <si>
    <t xml:space="preserve">SL-04</t>
  </si>
  <si>
    <t xml:space="preserve">Ooty - Emerald catchment</t>
  </si>
  <si>
    <t xml:space="preserve">SL-05</t>
  </si>
  <si>
    <t xml:space="preserve">Kallar - Bhavani riverbank cut</t>
  </si>
  <si>
    <t xml:space="preserve">SL-06</t>
  </si>
  <si>
    <t xml:space="preserve">Coonoor - Kunjapanai spur</t>
  </si>
  <si>
    <t xml:space="preserve">SL-07</t>
  </si>
  <si>
    <t xml:space="preserve">Kotagiri - Kodanad viewpoint rd</t>
  </si>
  <si>
    <t xml:space="preserve">SL-08</t>
  </si>
  <si>
    <t xml:space="preserve">Naduvattam - Gudalur ghat</t>
  </si>
  <si>
    <t xml:space="preserve">Factor of Safety uses the simplified infinite-slope model: FS = (c + γ·z·cos²β·(1-ru)·tanφ) / (γ·z·sinβ·cosβ). FS&lt;1 = failure, 1–1.3 = high risk, 1.3–1.5 = moderate, &gt;1.5 = stable. Inputs are illustrative — replace with site geotechnical survey data for real use.</t>
  </si>
  <si>
    <t xml:space="preserve">Landslide_ID</t>
  </si>
  <si>
    <t xml:space="preserve">Village_Location</t>
  </si>
  <si>
    <t xml:space="preserve">Approx_Lat</t>
  </si>
  <si>
    <t xml:space="preserve">Approx_Lon</t>
  </si>
  <si>
    <t xml:space="preserve">Trigger_Rainfall_24hr_mm</t>
  </si>
  <si>
    <t xml:space="preserve">Type</t>
  </si>
  <si>
    <t xml:space="preserve">Severity</t>
  </si>
  <si>
    <t xml:space="preserve">Reported_Casualties</t>
  </si>
  <si>
    <t xml:space="preserve">Source</t>
  </si>
  <si>
    <t xml:space="preserve">NLG-2009-006</t>
  </si>
  <si>
    <t xml:space="preserve">2009-07-17</t>
  </si>
  <si>
    <t xml:space="preserve">Aravenu</t>
  </si>
  <si>
    <t xml:space="preserve">Shallow translational slide</t>
  </si>
  <si>
    <t xml:space="preserve">Minor (debris/road blockage)</t>
  </si>
  <si>
    <t xml:space="preserve">SAMPLE (populate from GSI Bhukosh / TN SDMA verified records)</t>
  </si>
  <si>
    <t xml:space="preserve">NLG-2009-013</t>
  </si>
  <si>
    <t xml:space="preserve">Soil slip</t>
  </si>
  <si>
    <t xml:space="preserve">NLG-2009-001</t>
  </si>
  <si>
    <t xml:space="preserve">2009-08-21</t>
  </si>
  <si>
    <t xml:space="preserve">Kodanad</t>
  </si>
  <si>
    <t xml:space="preserve">Major (structural/casualty risk)</t>
  </si>
  <si>
    <t xml:space="preserve">NLG-2010-007</t>
  </si>
  <si>
    <t xml:space="preserve">2010-08-08</t>
  </si>
  <si>
    <t xml:space="preserve">Rockfall</t>
  </si>
  <si>
    <t xml:space="preserve">NLG-2011-002</t>
  </si>
  <si>
    <t xml:space="preserve">2011-09-13</t>
  </si>
  <si>
    <t xml:space="preserve">Burliyar</t>
  </si>
  <si>
    <t xml:space="preserve">Moderate (property damage)</t>
  </si>
  <si>
    <t xml:space="preserve">NLG-2012-016</t>
  </si>
  <si>
    <t xml:space="preserve">2012-06-05</t>
  </si>
  <si>
    <t xml:space="preserve">NLG-2013-005</t>
  </si>
  <si>
    <t xml:space="preserve">2013-07-23</t>
  </si>
  <si>
    <t xml:space="preserve">NLG-2013-008</t>
  </si>
  <si>
    <t xml:space="preserve">2013-11-19</t>
  </si>
  <si>
    <t xml:space="preserve">Emerald</t>
  </si>
  <si>
    <t xml:space="preserve">NLG-2014-011</t>
  </si>
  <si>
    <t xml:space="preserve">2014-08-01</t>
  </si>
  <si>
    <t xml:space="preserve">NLG-2016-003</t>
  </si>
  <si>
    <t xml:space="preserve">2016-06-16</t>
  </si>
  <si>
    <t xml:space="preserve">NLG-2016-017</t>
  </si>
  <si>
    <t xml:space="preserve">2016-11-23</t>
  </si>
  <si>
    <t xml:space="preserve">NLG-2018-009</t>
  </si>
  <si>
    <t xml:space="preserve">2018-09-01</t>
  </si>
  <si>
    <t xml:space="preserve">NLG-2018-014</t>
  </si>
  <si>
    <t xml:space="preserve">2018-11-26</t>
  </si>
  <si>
    <t xml:space="preserve">NLG-2019-015</t>
  </si>
  <si>
    <t xml:space="preserve">2019-08-16</t>
  </si>
  <si>
    <t xml:space="preserve">Naduvattam</t>
  </si>
  <si>
    <t xml:space="preserve">NLG-2019-010</t>
  </si>
  <si>
    <t xml:space="preserve">2019-08-23</t>
  </si>
  <si>
    <t xml:space="preserve">NLG-2021-012</t>
  </si>
  <si>
    <t xml:space="preserve">2021-09-21</t>
  </si>
  <si>
    <t xml:space="preserve">Debris flow</t>
  </si>
  <si>
    <t xml:space="preserve">NLG-2023-018</t>
  </si>
  <si>
    <t xml:space="preserve">2023-07-06</t>
  </si>
  <si>
    <t xml:space="preserve">NLG-2023-004</t>
  </si>
  <si>
    <t xml:space="preserve">2023-11-21</t>
  </si>
  <si>
    <t xml:space="preserve">SAMPLE / TEMPLATE DATA — dates, coordinates, and severities are illustrative placeholders in a realistic schema. For verified historical events use GSI Bhukosh (bhukosh.gsi.gov.in), the GSI District Resource Map for Nilgiris, or Tamil Nadu State Disaster Management Authority records.</t>
  </si>
  <si>
    <t xml:space="preserve">Timestamp</t>
  </si>
  <si>
    <t xml:space="preserve">Device_ID</t>
  </si>
  <si>
    <t xml:space="preserve">Sensor_Type</t>
  </si>
  <si>
    <t xml:space="preserve">Reading</t>
  </si>
  <si>
    <t xml:space="preserve">Unit</t>
  </si>
  <si>
    <t xml:space="preserve">Alert_Threshold</t>
  </si>
  <si>
    <t xml:space="preserve">Alert_Status</t>
  </si>
  <si>
    <t xml:space="preserve">2024-08-30 00:00</t>
  </si>
  <si>
    <t xml:space="preserve">IOT-01</t>
  </si>
  <si>
    <t xml:space="preserve">Tiltmeter</t>
  </si>
  <si>
    <t xml:space="preserve">Coonoor Slope A</t>
  </si>
  <si>
    <t xml:space="preserve">deg</t>
  </si>
  <si>
    <t xml:space="preserve">2024-08-30 01:00</t>
  </si>
  <si>
    <t xml:space="preserve">2024-08-30 02:00</t>
  </si>
  <si>
    <t xml:space="preserve">2024-08-30 03:00</t>
  </si>
  <si>
    <t xml:space="preserve">2024-08-30 04:00</t>
  </si>
  <si>
    <t xml:space="preserve">2024-08-30 05:00</t>
  </si>
  <si>
    <t xml:space="preserve">2024-08-30 06:00</t>
  </si>
  <si>
    <t xml:space="preserve">2024-08-30 07:00</t>
  </si>
  <si>
    <t xml:space="preserve">2024-08-30 08:00</t>
  </si>
  <si>
    <t xml:space="preserve">2024-08-30 09:00</t>
  </si>
  <si>
    <t xml:space="preserve">2024-08-30 10:00</t>
  </si>
  <si>
    <t xml:space="preserve">2024-08-30 11:00</t>
  </si>
  <si>
    <t xml:space="preserve">2024-08-30 12:00</t>
  </si>
  <si>
    <t xml:space="preserve">2024-08-30 13:00</t>
  </si>
  <si>
    <t xml:space="preserve">2024-08-30 14:00</t>
  </si>
  <si>
    <t xml:space="preserve">2024-08-30 15:00</t>
  </si>
  <si>
    <t xml:space="preserve">2024-08-30 16:00</t>
  </si>
  <si>
    <t xml:space="preserve">2024-08-30 17:00</t>
  </si>
  <si>
    <t xml:space="preserve">2024-08-30 18:00</t>
  </si>
  <si>
    <t xml:space="preserve">2024-08-30 19:00</t>
  </si>
  <si>
    <t xml:space="preserve">2024-08-30 20:00</t>
  </si>
  <si>
    <t xml:space="preserve">2024-08-30 21:00</t>
  </si>
  <si>
    <t xml:space="preserve">2024-08-30 22:00</t>
  </si>
  <si>
    <t xml:space="preserve">2024-08-30 23:00</t>
  </si>
  <si>
    <t xml:space="preserve">2024-08-31 00:00</t>
  </si>
  <si>
    <t xml:space="preserve">2024-08-31 01:00</t>
  </si>
  <si>
    <t xml:space="preserve">2024-08-31 02:00</t>
  </si>
  <si>
    <t xml:space="preserve">2024-08-31 03:00</t>
  </si>
  <si>
    <t xml:space="preserve">2024-08-31 04:00</t>
  </si>
  <si>
    <t xml:space="preserve">2024-08-31 05:00</t>
  </si>
  <si>
    <t xml:space="preserve">2024-08-31 06:00</t>
  </si>
  <si>
    <t xml:space="preserve">2024-08-31 07:00</t>
  </si>
  <si>
    <t xml:space="preserve">2024-08-31 08:00</t>
  </si>
  <si>
    <t xml:space="preserve">2024-08-31 09:00</t>
  </si>
  <si>
    <t xml:space="preserve">2024-08-31 10:00</t>
  </si>
  <si>
    <t xml:space="preserve">2024-08-31 11:00</t>
  </si>
  <si>
    <t xml:space="preserve">2024-08-31 12:00</t>
  </si>
  <si>
    <t xml:space="preserve">2024-08-31 13:00</t>
  </si>
  <si>
    <t xml:space="preserve">2024-08-31 14:00</t>
  </si>
  <si>
    <t xml:space="preserve">2024-08-31 15:00</t>
  </si>
  <si>
    <t xml:space="preserve">2024-08-31 16:00</t>
  </si>
  <si>
    <t xml:space="preserve">2024-08-31 17:00</t>
  </si>
  <si>
    <t xml:space="preserve">2024-08-31 18:00</t>
  </si>
  <si>
    <t xml:space="preserve">2024-08-31 19:00</t>
  </si>
  <si>
    <t xml:space="preserve">2024-08-31 20:00</t>
  </si>
  <si>
    <t xml:space="preserve">2024-08-31 21:00</t>
  </si>
  <si>
    <t xml:space="preserve">2024-08-31 22:00</t>
  </si>
  <si>
    <t xml:space="preserve">2024-08-31 23:00</t>
  </si>
  <si>
    <t xml:space="preserve">IOT-02</t>
  </si>
  <si>
    <t xml:space="preserve">Piezometer</t>
  </si>
  <si>
    <t xml:space="preserve">Kallar Slope B</t>
  </si>
  <si>
    <t xml:space="preserve">kPa</t>
  </si>
  <si>
    <t xml:space="preserve">IOT-03</t>
  </si>
  <si>
    <t xml:space="preserve">Geophone(Vibration)</t>
  </si>
  <si>
    <t xml:space="preserve">Kotagiri Slope C</t>
  </si>
  <si>
    <t xml:space="preserve">mm/s</t>
  </si>
  <si>
    <t xml:space="preserve">IOT-04</t>
  </si>
  <si>
    <t xml:space="preserve">Tipping-bucket Rain Gauge</t>
  </si>
  <si>
    <t xml:space="preserve">mm/hr</t>
  </si>
  <si>
    <t xml:space="preserve">IOT-05</t>
  </si>
  <si>
    <t xml:space="preserve">Crackmeter</t>
  </si>
  <si>
    <t xml:space="preserve">Ooty Slope D</t>
  </si>
  <si>
    <t xml:space="preserve">mm</t>
  </si>
  <si>
    <t xml:space="preserve">Lat</t>
  </si>
  <si>
    <t xml:space="preserve">Lon</t>
  </si>
  <si>
    <t xml:space="preserve">Elevation_m</t>
  </si>
  <si>
    <t xml:space="preserve">Rain_mean</t>
  </si>
  <si>
    <t xml:space="preserve">Rain_shape</t>
  </si>
  <si>
    <t xml:space="preserve">Parameter</t>
  </si>
  <si>
    <t xml:space="preserve">Real Source</t>
  </si>
  <si>
    <t xml:space="preserve">Access</t>
  </si>
  <si>
    <t xml:space="preserve">Rainfall (observed/forecast)</t>
  </si>
  <si>
    <t xml:space="preserve">India Meteorological Department (IMD) — Chennai RMC / Coonoor &amp; Ooty stations</t>
  </si>
  <si>
    <t xml:space="preserve">mausam.imd.gov.in, data.gov.in (IMD daily gridded/station rainfall)</t>
  </si>
  <si>
    <t xml:space="preserve">Soil moisture</t>
  </si>
  <si>
    <t xml:space="preserve">ISRO Bhuvan soil moisture products; ICAR / TNAU field stations; own IoT sensor network</t>
  </si>
  <si>
    <t xml:space="preserve">bhuvan.nrsc.gov.in; state agriculture dept telemetry</t>
  </si>
  <si>
    <t xml:space="preserve">Slope / terrain / geology</t>
  </si>
  <si>
    <t xml:space="preserve">Geological Survey of India (GSI) — Bhukosh portal &amp; District Resource Map, Nilgiris</t>
  </si>
  <si>
    <t xml:space="preserve">bhukosh.gsi.gov.in; GSI Landslide Susceptibility / NLSM reports</t>
  </si>
  <si>
    <t xml:space="preserve">Historical landslide inventory</t>
  </si>
  <si>
    <t xml:space="preserve">GSI National Landslide Susceptibility Mapping (NLSM) &amp; Bhusanket landslide forecast portal; TN State Disaster Management Authority</t>
  </si>
  <si>
    <t xml:space="preserve">bhusanket.gsi.gov.in; tnsdma.tn.gov.in</t>
  </si>
  <si>
    <t xml:space="preserve">River discharge / hydrology (Bhavani basin)</t>
  </si>
  <si>
    <t xml:space="preserve">Central Water Commission (CWC) India-WRIS</t>
  </si>
  <si>
    <t xml:space="preserve">indiawris.gov.in</t>
  </si>
  <si>
    <t xml:space="preserve">DEM / slope angle rasters</t>
  </si>
  <si>
    <t xml:space="preserve">Cartosat DEM (NRSC/ISRO) or SRTM 30m</t>
  </si>
  <si>
    <t xml:space="preserve">bhuvan.nrsc.gov.in; earthdata.nasa.gov</t>
  </si>
  <si>
    <t xml:space="preserve">Real-time IoT sensors (tilt, pore pressure, vibration)</t>
  </si>
  <si>
    <t xml:space="preserve">Purpose-built field deployment — no public feed exists; GSI's Bhusanket bulletin is the closest official early-warning output for this district</t>
  </si>
  <si>
    <t xml:space="preserve">Deploy own sensors; reference bhusanket.gsi.gov.in for bulletin format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</si>
</sst>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5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1F4E5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7F6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true" outlineLevel="0" collapsed="false">
      <c r="B5" s="3" t="s">
        <v>2</v>
      </c>
    </row>
    <row r="6" customFormat="false" ht="75" hidden="false" customHeight="true" outlineLevel="0" collapsed="false">
      <c r="B6" s="4" t="s">
        <v>3</v>
      </c>
    </row>
    <row r="7" customFormat="false" ht="15" hidden="false" customHeight="false" outlineLevel="0" collapsed="false">
      <c r="B7" s="4"/>
    </row>
    <row r="8" customFormat="false" ht="15" hidden="false" customHeight="true" outlineLevel="0" collapsed="false">
      <c r="B8" s="3" t="s">
        <v>4</v>
      </c>
    </row>
    <row r="9" customFormat="false" ht="90" hidden="false" customHeight="true" outlineLevel="0" collapsed="false">
      <c r="B9" s="4" t="s">
        <v>5</v>
      </c>
    </row>
    <row r="10" customFormat="false" ht="15" hidden="false" customHeight="false" outlineLevel="0" collapsed="false">
      <c r="B10" s="4"/>
    </row>
    <row r="11" customFormat="false" ht="15" hidden="false" customHeight="true" outlineLevel="0" collapsed="false">
      <c r="B11" s="3" t="s">
        <v>6</v>
      </c>
    </row>
    <row r="12" customFormat="false" ht="30" hidden="false" customHeight="true" outlineLevel="0" collapsed="false">
      <c r="B12" s="4" t="s">
        <v>7</v>
      </c>
    </row>
    <row r="13" customFormat="false" ht="30" hidden="false" customHeight="true" outlineLevel="0" collapsed="false">
      <c r="B13" s="4" t="s">
        <v>8</v>
      </c>
    </row>
    <row r="14" customFormat="false" ht="45" hidden="false" customHeight="true" outlineLevel="0" collapsed="false">
      <c r="B14" s="4" t="s">
        <v>9</v>
      </c>
    </row>
    <row r="15" customFormat="false" ht="45" hidden="false" customHeight="true" outlineLevel="0" collapsed="false">
      <c r="B15" s="4" t="s">
        <v>10</v>
      </c>
    </row>
    <row r="16" customFormat="false" ht="45" hidden="false" customHeight="true" outlineLevel="0" collapsed="false">
      <c r="B16" s="4" t="s">
        <v>11</v>
      </c>
    </row>
    <row r="17" customFormat="false" ht="30" hidden="false" customHeight="true" outlineLevel="0" collapsed="false">
      <c r="B17" s="4" t="s">
        <v>12</v>
      </c>
    </row>
    <row r="18" customFormat="false" ht="15" hidden="false" customHeight="false" outlineLevel="0" collapsed="false">
      <c r="B18" s="4"/>
    </row>
    <row r="19" customFormat="false" ht="15" hidden="false" customHeight="true" outlineLevel="0" collapsed="false">
      <c r="B19" s="3" t="s">
        <v>13</v>
      </c>
    </row>
    <row r="20" customFormat="false" ht="45" hidden="false" customHeight="true" outlineLevel="0" collapsed="false">
      <c r="B20" s="4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6" min="5" style="0" width="20"/>
  </cols>
  <sheetData>
    <row r="1" customFormat="false" ht="27.75" hidden="false" customHeight="true" outlineLevel="0" collapsed="false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</row>
    <row r="2" customFormat="false" ht="15" hidden="false" customHeight="false" outlineLevel="0" collapsed="false">
      <c r="A2" s="6" t="s">
        <v>21</v>
      </c>
      <c r="B2" s="6" t="s">
        <v>22</v>
      </c>
      <c r="C2" s="6" t="s">
        <v>23</v>
      </c>
      <c r="D2" s="6" t="n">
        <v>17</v>
      </c>
      <c r="E2" s="6" t="n">
        <v>17</v>
      </c>
      <c r="F2" s="6" t="n">
        <v>17</v>
      </c>
    </row>
    <row r="3" customFormat="false" ht="15" hidden="false" customHeight="false" outlineLevel="0" collapsed="false">
      <c r="A3" s="6" t="s">
        <v>21</v>
      </c>
      <c r="B3" s="6" t="s">
        <v>22</v>
      </c>
      <c r="C3" s="6" t="s">
        <v>24</v>
      </c>
      <c r="D3" s="6" t="n">
        <v>26.1</v>
      </c>
      <c r="E3" s="6" t="n">
        <v>43.1</v>
      </c>
      <c r="F3" s="6" t="n">
        <v>43.1</v>
      </c>
    </row>
    <row r="4" customFormat="false" ht="15" hidden="false" customHeight="false" outlineLevel="0" collapsed="false">
      <c r="A4" s="6" t="s">
        <v>21</v>
      </c>
      <c r="B4" s="6" t="s">
        <v>22</v>
      </c>
      <c r="C4" s="6" t="s">
        <v>25</v>
      </c>
      <c r="D4" s="6" t="n">
        <v>60.1</v>
      </c>
      <c r="E4" s="6" t="n">
        <v>103.2</v>
      </c>
      <c r="F4" s="6" t="n">
        <v>103.2</v>
      </c>
    </row>
    <row r="5" customFormat="false" ht="15" hidden="false" customHeight="false" outlineLevel="0" collapsed="false">
      <c r="A5" s="6" t="s">
        <v>21</v>
      </c>
      <c r="B5" s="6" t="s">
        <v>22</v>
      </c>
      <c r="C5" s="6" t="s">
        <v>26</v>
      </c>
      <c r="D5" s="6" t="n">
        <v>12</v>
      </c>
      <c r="E5" s="6" t="n">
        <v>98.2</v>
      </c>
      <c r="F5" s="6" t="n">
        <v>115.2</v>
      </c>
    </row>
    <row r="6" customFormat="false" ht="15" hidden="false" customHeight="false" outlineLevel="0" collapsed="false">
      <c r="A6" s="6" t="s">
        <v>21</v>
      </c>
      <c r="B6" s="6" t="s">
        <v>22</v>
      </c>
      <c r="C6" s="6" t="s">
        <v>27</v>
      </c>
      <c r="D6" s="6" t="n">
        <v>29.2</v>
      </c>
      <c r="E6" s="6" t="n">
        <v>101.3</v>
      </c>
      <c r="F6" s="6" t="n">
        <v>144.4</v>
      </c>
    </row>
    <row r="7" customFormat="false" ht="15" hidden="false" customHeight="false" outlineLevel="0" collapsed="false">
      <c r="A7" s="6" t="s">
        <v>21</v>
      </c>
      <c r="B7" s="6" t="s">
        <v>22</v>
      </c>
      <c r="C7" s="6" t="s">
        <v>28</v>
      </c>
      <c r="D7" s="6" t="n">
        <v>13.2</v>
      </c>
      <c r="E7" s="6" t="n">
        <v>54.4</v>
      </c>
      <c r="F7" s="6" t="n">
        <v>157.6</v>
      </c>
    </row>
    <row r="8" customFormat="false" ht="15" hidden="false" customHeight="false" outlineLevel="0" collapsed="false">
      <c r="A8" s="6" t="s">
        <v>21</v>
      </c>
      <c r="B8" s="6" t="s">
        <v>22</v>
      </c>
      <c r="C8" s="6" t="s">
        <v>29</v>
      </c>
      <c r="D8" s="6" t="n">
        <v>20.1</v>
      </c>
      <c r="E8" s="6" t="n">
        <v>62.5</v>
      </c>
      <c r="F8" s="6" t="n">
        <v>177.7</v>
      </c>
    </row>
    <row r="9" customFormat="false" ht="15" hidden="false" customHeight="false" outlineLevel="0" collapsed="false">
      <c r="A9" s="6" t="s">
        <v>21</v>
      </c>
      <c r="B9" s="6" t="s">
        <v>22</v>
      </c>
      <c r="C9" s="6" t="s">
        <v>30</v>
      </c>
      <c r="D9" s="6" t="n">
        <v>18.2</v>
      </c>
      <c r="E9" s="6" t="n">
        <v>51.5</v>
      </c>
      <c r="F9" s="6" t="n">
        <v>178.9</v>
      </c>
    </row>
    <row r="10" customFormat="false" ht="15" hidden="false" customHeight="false" outlineLevel="0" collapsed="false">
      <c r="A10" s="6" t="s">
        <v>21</v>
      </c>
      <c r="B10" s="6" t="s">
        <v>22</v>
      </c>
      <c r="C10" s="6" t="s">
        <v>31</v>
      </c>
      <c r="D10" s="6" t="n">
        <v>29.1</v>
      </c>
      <c r="E10" s="6" t="n">
        <v>67.4</v>
      </c>
      <c r="F10" s="6" t="n">
        <v>181.9</v>
      </c>
    </row>
    <row r="11" customFormat="false" ht="15" hidden="false" customHeight="false" outlineLevel="0" collapsed="false">
      <c r="A11" s="6" t="s">
        <v>21</v>
      </c>
      <c r="B11" s="6" t="s">
        <v>22</v>
      </c>
      <c r="C11" s="6" t="s">
        <v>32</v>
      </c>
      <c r="D11" s="6" t="n">
        <v>9.9</v>
      </c>
      <c r="E11" s="6" t="n">
        <v>57.2</v>
      </c>
      <c r="F11" s="6" t="n">
        <v>131.7</v>
      </c>
    </row>
    <row r="12" customFormat="false" ht="15" hidden="false" customHeight="false" outlineLevel="0" collapsed="false">
      <c r="A12" s="6" t="s">
        <v>21</v>
      </c>
      <c r="B12" s="6" t="s">
        <v>22</v>
      </c>
      <c r="C12" s="6" t="s">
        <v>33</v>
      </c>
      <c r="D12" s="6" t="n">
        <v>38.6</v>
      </c>
      <c r="E12" s="6" t="n">
        <v>77.6</v>
      </c>
      <c r="F12" s="6" t="n">
        <v>158.3</v>
      </c>
    </row>
    <row r="13" customFormat="false" ht="15" hidden="false" customHeight="false" outlineLevel="0" collapsed="false">
      <c r="A13" s="6" t="s">
        <v>21</v>
      </c>
      <c r="B13" s="6" t="s">
        <v>22</v>
      </c>
      <c r="C13" s="6" t="s">
        <v>34</v>
      </c>
      <c r="D13" s="6" t="n">
        <v>20.6</v>
      </c>
      <c r="E13" s="6" t="n">
        <v>69.1</v>
      </c>
      <c r="F13" s="6" t="n">
        <v>149.7</v>
      </c>
    </row>
    <row r="14" customFormat="false" ht="15" hidden="false" customHeight="false" outlineLevel="0" collapsed="false">
      <c r="A14" s="6" t="s">
        <v>21</v>
      </c>
      <c r="B14" s="6" t="s">
        <v>22</v>
      </c>
      <c r="C14" s="6" t="s">
        <v>35</v>
      </c>
      <c r="D14" s="6" t="n">
        <v>21.3</v>
      </c>
      <c r="E14" s="6" t="n">
        <v>80.5</v>
      </c>
      <c r="F14" s="6" t="n">
        <v>157.8</v>
      </c>
    </row>
    <row r="15" customFormat="false" ht="15" hidden="false" customHeight="false" outlineLevel="0" collapsed="false">
      <c r="A15" s="6" t="s">
        <v>21</v>
      </c>
      <c r="B15" s="6" t="s">
        <v>22</v>
      </c>
      <c r="C15" s="6" t="s">
        <v>36</v>
      </c>
      <c r="D15" s="6" t="n">
        <v>19</v>
      </c>
      <c r="E15" s="6" t="n">
        <v>60.9</v>
      </c>
      <c r="F15" s="6" t="n">
        <v>156.7</v>
      </c>
    </row>
    <row r="16" customFormat="false" ht="15" hidden="false" customHeight="false" outlineLevel="0" collapsed="false">
      <c r="A16" s="6" t="s">
        <v>21</v>
      </c>
      <c r="B16" s="6" t="s">
        <v>22</v>
      </c>
      <c r="C16" s="6" t="s">
        <v>37</v>
      </c>
      <c r="D16" s="6" t="n">
        <v>6.4</v>
      </c>
      <c r="E16" s="6" t="n">
        <v>46.7</v>
      </c>
      <c r="F16" s="6" t="n">
        <v>144.9</v>
      </c>
    </row>
    <row r="17" customFormat="false" ht="15" hidden="false" customHeight="false" outlineLevel="0" collapsed="false">
      <c r="A17" s="6" t="s">
        <v>21</v>
      </c>
      <c r="B17" s="6" t="s">
        <v>22</v>
      </c>
      <c r="C17" s="6" t="s">
        <v>38</v>
      </c>
      <c r="D17" s="6" t="n">
        <v>23.1</v>
      </c>
      <c r="E17" s="6" t="n">
        <v>48.5</v>
      </c>
      <c r="F17" s="6" t="n">
        <v>138.9</v>
      </c>
    </row>
    <row r="18" customFormat="false" ht="15" hidden="false" customHeight="false" outlineLevel="0" collapsed="false">
      <c r="A18" s="6" t="s">
        <v>21</v>
      </c>
      <c r="B18" s="6" t="s">
        <v>22</v>
      </c>
      <c r="C18" s="6" t="s">
        <v>39</v>
      </c>
      <c r="D18" s="6" t="n">
        <v>10.7</v>
      </c>
      <c r="E18" s="6" t="n">
        <v>40.2</v>
      </c>
      <c r="F18" s="6" t="n">
        <v>139.7</v>
      </c>
    </row>
    <row r="19" customFormat="false" ht="15" hidden="false" customHeight="false" outlineLevel="0" collapsed="false">
      <c r="A19" s="6" t="s">
        <v>21</v>
      </c>
      <c r="B19" s="6" t="s">
        <v>22</v>
      </c>
      <c r="C19" s="6" t="s">
        <v>40</v>
      </c>
      <c r="D19" s="6" t="n">
        <v>4</v>
      </c>
      <c r="E19" s="6" t="n">
        <v>37.8</v>
      </c>
      <c r="F19" s="6" t="n">
        <v>105.1</v>
      </c>
    </row>
    <row r="20" customFormat="false" ht="15" hidden="false" customHeight="false" outlineLevel="0" collapsed="false">
      <c r="A20" s="6" t="s">
        <v>21</v>
      </c>
      <c r="B20" s="6" t="s">
        <v>22</v>
      </c>
      <c r="C20" s="6" t="s">
        <v>41</v>
      </c>
      <c r="D20" s="6" t="n">
        <v>25.9</v>
      </c>
      <c r="E20" s="6" t="n">
        <v>40.6</v>
      </c>
      <c r="F20" s="6" t="n">
        <v>110.4</v>
      </c>
    </row>
    <row r="21" customFormat="false" ht="15" hidden="false" customHeight="false" outlineLevel="0" collapsed="false">
      <c r="A21" s="6" t="s">
        <v>21</v>
      </c>
      <c r="B21" s="6" t="s">
        <v>22</v>
      </c>
      <c r="C21" s="6" t="s">
        <v>42</v>
      </c>
      <c r="D21" s="6" t="n">
        <v>2.1</v>
      </c>
      <c r="E21" s="6" t="n">
        <v>32</v>
      </c>
      <c r="F21" s="6" t="n">
        <v>91.2</v>
      </c>
    </row>
    <row r="22" customFormat="false" ht="15" hidden="false" customHeight="false" outlineLevel="0" collapsed="false">
      <c r="A22" s="6" t="s">
        <v>21</v>
      </c>
      <c r="B22" s="6" t="s">
        <v>22</v>
      </c>
      <c r="C22" s="6" t="s">
        <v>43</v>
      </c>
      <c r="D22" s="6" t="n">
        <v>5.1</v>
      </c>
      <c r="E22" s="6" t="n">
        <v>33.1</v>
      </c>
      <c r="F22" s="6" t="n">
        <v>77.3</v>
      </c>
    </row>
    <row r="23" customFormat="false" ht="15" hidden="false" customHeight="false" outlineLevel="0" collapsed="false">
      <c r="A23" s="6" t="s">
        <v>21</v>
      </c>
      <c r="B23" s="6" t="s">
        <v>22</v>
      </c>
      <c r="C23" s="6" t="s">
        <v>44</v>
      </c>
      <c r="D23" s="6" t="n">
        <v>51.7</v>
      </c>
      <c r="E23" s="6" t="n">
        <v>58.9</v>
      </c>
      <c r="F23" s="6" t="n">
        <v>122.6</v>
      </c>
    </row>
    <row r="24" customFormat="false" ht="15" hidden="false" customHeight="false" outlineLevel="0" collapsed="false">
      <c r="A24" s="6" t="s">
        <v>21</v>
      </c>
      <c r="B24" s="6" t="s">
        <v>22</v>
      </c>
      <c r="C24" s="6" t="s">
        <v>45</v>
      </c>
      <c r="D24" s="6" t="n">
        <v>29</v>
      </c>
      <c r="E24" s="6" t="n">
        <v>85.8</v>
      </c>
      <c r="F24" s="6" t="n">
        <v>128.5</v>
      </c>
    </row>
    <row r="25" customFormat="false" ht="15" hidden="false" customHeight="false" outlineLevel="0" collapsed="false">
      <c r="A25" s="6" t="s">
        <v>21</v>
      </c>
      <c r="B25" s="6" t="s">
        <v>22</v>
      </c>
      <c r="C25" s="6" t="s">
        <v>46</v>
      </c>
      <c r="D25" s="6" t="n">
        <v>24.4</v>
      </c>
      <c r="E25" s="6" t="n">
        <v>105.1</v>
      </c>
      <c r="F25" s="6" t="n">
        <v>142.2</v>
      </c>
    </row>
    <row r="26" customFormat="false" ht="15" hidden="false" customHeight="false" outlineLevel="0" collapsed="false">
      <c r="A26" s="6" t="s">
        <v>21</v>
      </c>
      <c r="B26" s="6" t="s">
        <v>22</v>
      </c>
      <c r="C26" s="6" t="s">
        <v>47</v>
      </c>
      <c r="D26" s="6" t="n">
        <v>16.8</v>
      </c>
      <c r="E26" s="6" t="n">
        <v>70.2</v>
      </c>
      <c r="F26" s="6" t="n">
        <v>155</v>
      </c>
    </row>
    <row r="27" customFormat="false" ht="15" hidden="false" customHeight="false" outlineLevel="0" collapsed="false">
      <c r="A27" s="6" t="s">
        <v>21</v>
      </c>
      <c r="B27" s="6" t="s">
        <v>22</v>
      </c>
      <c r="C27" s="6" t="s">
        <v>48</v>
      </c>
      <c r="D27" s="6" t="n">
        <v>1.1</v>
      </c>
      <c r="E27" s="6" t="n">
        <v>42.3</v>
      </c>
      <c r="F27" s="6" t="n">
        <v>130.2</v>
      </c>
    </row>
    <row r="28" customFormat="false" ht="15" hidden="false" customHeight="false" outlineLevel="0" collapsed="false">
      <c r="A28" s="6" t="s">
        <v>21</v>
      </c>
      <c r="B28" s="6" t="s">
        <v>22</v>
      </c>
      <c r="C28" s="6" t="s">
        <v>49</v>
      </c>
      <c r="D28" s="6" t="n">
        <v>6.8</v>
      </c>
      <c r="E28" s="6" t="n">
        <v>24.7</v>
      </c>
      <c r="F28" s="6" t="n">
        <v>134.9</v>
      </c>
    </row>
    <row r="29" customFormat="false" ht="15" hidden="false" customHeight="false" outlineLevel="0" collapsed="false">
      <c r="A29" s="6" t="s">
        <v>21</v>
      </c>
      <c r="B29" s="6" t="s">
        <v>22</v>
      </c>
      <c r="C29" s="6" t="s">
        <v>50</v>
      </c>
      <c r="D29" s="6" t="n">
        <v>8.8</v>
      </c>
      <c r="E29" s="6" t="n">
        <v>16.7</v>
      </c>
      <c r="F29" s="6" t="n">
        <v>138.6</v>
      </c>
    </row>
    <row r="30" customFormat="false" ht="15" hidden="false" customHeight="false" outlineLevel="0" collapsed="false">
      <c r="A30" s="6" t="s">
        <v>21</v>
      </c>
      <c r="B30" s="6" t="s">
        <v>22</v>
      </c>
      <c r="C30" s="6" t="s">
        <v>51</v>
      </c>
      <c r="D30" s="6" t="n">
        <v>3.7</v>
      </c>
      <c r="E30" s="6" t="n">
        <v>19.3</v>
      </c>
      <c r="F30" s="6" t="n">
        <v>90.6</v>
      </c>
    </row>
    <row r="31" customFormat="false" ht="15" hidden="false" customHeight="false" outlineLevel="0" collapsed="false">
      <c r="A31" s="6" t="s">
        <v>21</v>
      </c>
      <c r="B31" s="6" t="s">
        <v>22</v>
      </c>
      <c r="C31" s="6" t="s">
        <v>52</v>
      </c>
      <c r="D31" s="6" t="n">
        <v>0.6</v>
      </c>
      <c r="E31" s="6" t="n">
        <v>13.1</v>
      </c>
      <c r="F31" s="6" t="n">
        <v>62.2</v>
      </c>
    </row>
    <row r="32" customFormat="false" ht="15" hidden="false" customHeight="false" outlineLevel="0" collapsed="false">
      <c r="A32" s="6" t="s">
        <v>21</v>
      </c>
      <c r="B32" s="6" t="s">
        <v>22</v>
      </c>
      <c r="C32" s="6" t="s">
        <v>53</v>
      </c>
      <c r="D32" s="6" t="n">
        <v>14.7</v>
      </c>
      <c r="E32" s="6" t="n">
        <v>19</v>
      </c>
      <c r="F32" s="6" t="n">
        <v>52.5</v>
      </c>
    </row>
    <row r="33" customFormat="false" ht="15" hidden="false" customHeight="false" outlineLevel="0" collapsed="false">
      <c r="A33" s="6" t="s">
        <v>21</v>
      </c>
      <c r="B33" s="6" t="s">
        <v>22</v>
      </c>
      <c r="C33" s="6" t="s">
        <v>54</v>
      </c>
      <c r="D33" s="6" t="n">
        <v>25.2</v>
      </c>
      <c r="E33" s="6" t="n">
        <v>40.5</v>
      </c>
      <c r="F33" s="6" t="n">
        <v>60.9</v>
      </c>
    </row>
    <row r="34" customFormat="false" ht="15" hidden="false" customHeight="false" outlineLevel="0" collapsed="false">
      <c r="A34" s="6" t="s">
        <v>21</v>
      </c>
      <c r="B34" s="6" t="s">
        <v>22</v>
      </c>
      <c r="C34" s="6" t="s">
        <v>55</v>
      </c>
      <c r="D34" s="6" t="n">
        <v>8</v>
      </c>
      <c r="E34" s="6" t="n">
        <v>47.9</v>
      </c>
      <c r="F34" s="6" t="n">
        <v>67.8</v>
      </c>
    </row>
    <row r="35" customFormat="false" ht="15" hidden="false" customHeight="false" outlineLevel="0" collapsed="false">
      <c r="A35" s="6" t="s">
        <v>21</v>
      </c>
      <c r="B35" s="6" t="s">
        <v>22</v>
      </c>
      <c r="C35" s="6" t="s">
        <v>56</v>
      </c>
      <c r="D35" s="6" t="n">
        <v>28.6</v>
      </c>
      <c r="E35" s="6" t="n">
        <v>61.8</v>
      </c>
      <c r="F35" s="6" t="n">
        <v>89.6</v>
      </c>
    </row>
    <row r="36" customFormat="false" ht="15" hidden="false" customHeight="false" outlineLevel="0" collapsed="false">
      <c r="A36" s="6" t="s">
        <v>21</v>
      </c>
      <c r="B36" s="6" t="s">
        <v>22</v>
      </c>
      <c r="C36" s="6" t="s">
        <v>57</v>
      </c>
      <c r="D36" s="6" t="n">
        <v>1.7</v>
      </c>
      <c r="E36" s="6" t="n">
        <v>38.3</v>
      </c>
      <c r="F36" s="6" t="n">
        <v>82.5</v>
      </c>
    </row>
    <row r="37" customFormat="false" ht="15" hidden="false" customHeight="false" outlineLevel="0" collapsed="false">
      <c r="A37" s="6" t="s">
        <v>21</v>
      </c>
      <c r="B37" s="6" t="s">
        <v>22</v>
      </c>
      <c r="C37" s="6" t="s">
        <v>58</v>
      </c>
      <c r="D37" s="6" t="n">
        <v>3.4</v>
      </c>
      <c r="E37" s="6" t="n">
        <v>33.7</v>
      </c>
      <c r="F37" s="6" t="n">
        <v>82.2</v>
      </c>
    </row>
    <row r="38" customFormat="false" ht="15" hidden="false" customHeight="false" outlineLevel="0" collapsed="false">
      <c r="A38" s="6" t="s">
        <v>21</v>
      </c>
      <c r="B38" s="6" t="s">
        <v>22</v>
      </c>
      <c r="C38" s="6" t="s">
        <v>59</v>
      </c>
      <c r="D38" s="6" t="n">
        <v>14.4</v>
      </c>
      <c r="E38" s="6" t="n">
        <v>19.5</v>
      </c>
      <c r="F38" s="6" t="n">
        <v>96</v>
      </c>
    </row>
    <row r="39" customFormat="false" ht="15" hidden="false" customHeight="false" outlineLevel="0" collapsed="false">
      <c r="A39" s="6" t="s">
        <v>21</v>
      </c>
      <c r="B39" s="6" t="s">
        <v>22</v>
      </c>
      <c r="C39" s="6" t="s">
        <v>60</v>
      </c>
      <c r="D39" s="6" t="n">
        <v>7.2</v>
      </c>
      <c r="E39" s="6" t="n">
        <v>25</v>
      </c>
      <c r="F39" s="6" t="n">
        <v>88.5</v>
      </c>
    </row>
    <row r="40" customFormat="false" ht="15" hidden="false" customHeight="false" outlineLevel="0" collapsed="false">
      <c r="A40" s="6" t="s">
        <v>21</v>
      </c>
      <c r="B40" s="6" t="s">
        <v>22</v>
      </c>
      <c r="C40" s="6" t="s">
        <v>61</v>
      </c>
      <c r="D40" s="6" t="n">
        <v>23.3</v>
      </c>
      <c r="E40" s="6" t="n">
        <v>44.9</v>
      </c>
      <c r="F40" s="6" t="n">
        <v>86.6</v>
      </c>
    </row>
    <row r="41" customFormat="false" ht="15" hidden="false" customHeight="false" outlineLevel="0" collapsed="false">
      <c r="A41" s="6" t="s">
        <v>21</v>
      </c>
      <c r="B41" s="6" t="s">
        <v>22</v>
      </c>
      <c r="C41" s="6" t="s">
        <v>62</v>
      </c>
      <c r="D41" s="6" t="n">
        <v>19.8</v>
      </c>
      <c r="E41" s="6" t="n">
        <v>50.3</v>
      </c>
      <c r="F41" s="6" t="n">
        <v>98.4</v>
      </c>
    </row>
    <row r="42" customFormat="false" ht="15" hidden="false" customHeight="false" outlineLevel="0" collapsed="false">
      <c r="A42" s="6" t="s">
        <v>21</v>
      </c>
      <c r="B42" s="6" t="s">
        <v>22</v>
      </c>
      <c r="C42" s="6" t="s">
        <v>63</v>
      </c>
      <c r="D42" s="6" t="n">
        <v>7.9</v>
      </c>
      <c r="E42" s="6" t="n">
        <v>51</v>
      </c>
      <c r="F42" s="6" t="n">
        <v>77.7</v>
      </c>
    </row>
    <row r="43" customFormat="false" ht="15" hidden="false" customHeight="false" outlineLevel="0" collapsed="false">
      <c r="A43" s="6" t="s">
        <v>21</v>
      </c>
      <c r="B43" s="6" t="s">
        <v>22</v>
      </c>
      <c r="C43" s="6" t="s">
        <v>64</v>
      </c>
      <c r="D43" s="6" t="n">
        <v>2</v>
      </c>
      <c r="E43" s="6" t="n">
        <v>29.7</v>
      </c>
      <c r="F43" s="6" t="n">
        <v>78</v>
      </c>
    </row>
    <row r="44" customFormat="false" ht="15" hidden="false" customHeight="false" outlineLevel="0" collapsed="false">
      <c r="A44" s="6" t="s">
        <v>21</v>
      </c>
      <c r="B44" s="6" t="s">
        <v>22</v>
      </c>
      <c r="C44" s="6" t="s">
        <v>65</v>
      </c>
      <c r="D44" s="6" t="n">
        <v>6.8</v>
      </c>
      <c r="E44" s="6" t="n">
        <v>16.7</v>
      </c>
      <c r="F44" s="6" t="n">
        <v>81.4</v>
      </c>
    </row>
    <row r="45" customFormat="false" ht="15" hidden="false" customHeight="false" outlineLevel="0" collapsed="false">
      <c r="A45" s="6" t="s">
        <v>21</v>
      </c>
      <c r="B45" s="6" t="s">
        <v>22</v>
      </c>
      <c r="C45" s="6" t="s">
        <v>66</v>
      </c>
      <c r="D45" s="6" t="n">
        <v>20.3</v>
      </c>
      <c r="E45" s="6" t="n">
        <v>29.1</v>
      </c>
      <c r="F45" s="6" t="n">
        <v>87.3</v>
      </c>
    </row>
    <row r="46" customFormat="false" ht="15" hidden="false" customHeight="false" outlineLevel="0" collapsed="false">
      <c r="A46" s="6" t="s">
        <v>21</v>
      </c>
      <c r="B46" s="6" t="s">
        <v>22</v>
      </c>
      <c r="C46" s="6" t="s">
        <v>67</v>
      </c>
      <c r="D46" s="6" t="n">
        <v>24.1</v>
      </c>
      <c r="E46" s="6" t="n">
        <v>51.2</v>
      </c>
      <c r="F46" s="6" t="n">
        <v>104.2</v>
      </c>
    </row>
    <row r="47" customFormat="false" ht="15" hidden="false" customHeight="false" outlineLevel="0" collapsed="false">
      <c r="A47" s="6" t="s">
        <v>21</v>
      </c>
      <c r="B47" s="6" t="s">
        <v>22</v>
      </c>
      <c r="C47" s="6" t="s">
        <v>68</v>
      </c>
      <c r="D47" s="6" t="n">
        <v>7.2</v>
      </c>
      <c r="E47" s="6" t="n">
        <v>51.6</v>
      </c>
      <c r="F47" s="6" t="n">
        <v>88.1</v>
      </c>
    </row>
    <row r="48" customFormat="false" ht="15" hidden="false" customHeight="false" outlineLevel="0" collapsed="false">
      <c r="A48" s="6" t="s">
        <v>21</v>
      </c>
      <c r="B48" s="6" t="s">
        <v>22</v>
      </c>
      <c r="C48" s="6" t="s">
        <v>69</v>
      </c>
      <c r="D48" s="6" t="n">
        <v>0.6</v>
      </c>
      <c r="E48" s="6" t="n">
        <v>31.9</v>
      </c>
      <c r="F48" s="6" t="n">
        <v>68.9</v>
      </c>
    </row>
    <row r="49" customFormat="false" ht="15" hidden="false" customHeight="false" outlineLevel="0" collapsed="false">
      <c r="A49" s="6" t="s">
        <v>21</v>
      </c>
      <c r="B49" s="6" t="s">
        <v>22</v>
      </c>
      <c r="C49" s="6" t="s">
        <v>70</v>
      </c>
      <c r="D49" s="6" t="n">
        <v>18.8</v>
      </c>
      <c r="E49" s="6" t="n">
        <v>26.6</v>
      </c>
      <c r="F49" s="6" t="n">
        <v>79.8</v>
      </c>
    </row>
    <row r="50" customFormat="false" ht="15" hidden="false" customHeight="false" outlineLevel="0" collapsed="false">
      <c r="A50" s="6" t="s">
        <v>21</v>
      </c>
      <c r="B50" s="6" t="s">
        <v>22</v>
      </c>
      <c r="C50" s="6" t="s">
        <v>71</v>
      </c>
      <c r="D50" s="6" t="n">
        <v>7.7</v>
      </c>
      <c r="E50" s="6" t="n">
        <v>27.1</v>
      </c>
      <c r="F50" s="6" t="n">
        <v>85.5</v>
      </c>
    </row>
    <row r="51" customFormat="false" ht="15" hidden="false" customHeight="false" outlineLevel="0" collapsed="false">
      <c r="A51" s="6" t="s">
        <v>21</v>
      </c>
      <c r="B51" s="6" t="s">
        <v>22</v>
      </c>
      <c r="C51" s="6" t="s">
        <v>72</v>
      </c>
      <c r="D51" s="6" t="n">
        <v>7.9</v>
      </c>
      <c r="E51" s="6" t="n">
        <v>34.4</v>
      </c>
      <c r="F51" s="6" t="n">
        <v>86.6</v>
      </c>
    </row>
    <row r="52" customFormat="false" ht="15" hidden="false" customHeight="false" outlineLevel="0" collapsed="false">
      <c r="A52" s="6" t="s">
        <v>21</v>
      </c>
      <c r="B52" s="6" t="s">
        <v>22</v>
      </c>
      <c r="C52" s="6" t="s">
        <v>73</v>
      </c>
      <c r="D52" s="6" t="n">
        <v>3.3</v>
      </c>
      <c r="E52" s="6" t="n">
        <v>18.9</v>
      </c>
      <c r="F52" s="6" t="n">
        <v>69.6</v>
      </c>
    </row>
    <row r="53" customFormat="false" ht="15" hidden="false" customHeight="false" outlineLevel="0" collapsed="false">
      <c r="A53" s="6" t="s">
        <v>21</v>
      </c>
      <c r="B53" s="6" t="s">
        <v>22</v>
      </c>
      <c r="C53" s="6" t="s">
        <v>74</v>
      </c>
      <c r="D53" s="6" t="n">
        <v>3.2</v>
      </c>
      <c r="E53" s="6" t="n">
        <v>14.4</v>
      </c>
      <c r="F53" s="6" t="n">
        <v>48.7</v>
      </c>
    </row>
    <row r="54" customFormat="false" ht="15" hidden="false" customHeight="false" outlineLevel="0" collapsed="false">
      <c r="A54" s="6" t="s">
        <v>21</v>
      </c>
      <c r="B54" s="6" t="s">
        <v>22</v>
      </c>
      <c r="C54" s="6" t="s">
        <v>75</v>
      </c>
      <c r="D54" s="6" t="n">
        <v>28.2</v>
      </c>
      <c r="E54" s="6" t="n">
        <v>34.7</v>
      </c>
      <c r="F54" s="6" t="n">
        <v>69.7</v>
      </c>
    </row>
    <row r="55" customFormat="false" ht="15" hidden="false" customHeight="false" outlineLevel="0" collapsed="false">
      <c r="A55" s="6" t="s">
        <v>21</v>
      </c>
      <c r="B55" s="6" t="s">
        <v>22</v>
      </c>
      <c r="C55" s="6" t="s">
        <v>76</v>
      </c>
      <c r="D55" s="6" t="n">
        <v>19.4</v>
      </c>
      <c r="E55" s="6" t="n">
        <v>50.8</v>
      </c>
      <c r="F55" s="6" t="n">
        <v>88.5</v>
      </c>
    </row>
    <row r="56" customFormat="false" ht="15" hidden="false" customHeight="false" outlineLevel="0" collapsed="false">
      <c r="A56" s="6" t="s">
        <v>21</v>
      </c>
      <c r="B56" s="6" t="s">
        <v>22</v>
      </c>
      <c r="C56" s="6" t="s">
        <v>77</v>
      </c>
      <c r="D56" s="6" t="n">
        <v>5.7</v>
      </c>
      <c r="E56" s="6" t="n">
        <v>53.3</v>
      </c>
      <c r="F56" s="6" t="n">
        <v>75.4</v>
      </c>
    </row>
    <row r="57" customFormat="false" ht="15" hidden="false" customHeight="false" outlineLevel="0" collapsed="false">
      <c r="A57" s="6" t="s">
        <v>21</v>
      </c>
      <c r="B57" s="6" t="s">
        <v>22</v>
      </c>
      <c r="C57" s="6" t="s">
        <v>78</v>
      </c>
      <c r="D57" s="6" t="n">
        <v>13.3</v>
      </c>
      <c r="E57" s="6" t="n">
        <v>38.4</v>
      </c>
      <c r="F57" s="6" t="n">
        <v>81</v>
      </c>
    </row>
    <row r="58" customFormat="false" ht="15" hidden="false" customHeight="false" outlineLevel="0" collapsed="false">
      <c r="A58" s="6" t="s">
        <v>21</v>
      </c>
      <c r="B58" s="6" t="s">
        <v>22</v>
      </c>
      <c r="C58" s="6" t="s">
        <v>79</v>
      </c>
      <c r="D58" s="6" t="n">
        <v>15.8</v>
      </c>
      <c r="E58" s="6" t="n">
        <v>34.8</v>
      </c>
      <c r="F58" s="6" t="n">
        <v>88.9</v>
      </c>
    </row>
    <row r="59" customFormat="false" ht="15" hidden="false" customHeight="false" outlineLevel="0" collapsed="false">
      <c r="A59" s="6" t="s">
        <v>21</v>
      </c>
      <c r="B59" s="6" t="s">
        <v>22</v>
      </c>
      <c r="C59" s="6" t="s">
        <v>80</v>
      </c>
      <c r="D59" s="6" t="n">
        <v>51.2</v>
      </c>
      <c r="E59" s="6" t="n">
        <v>80.3</v>
      </c>
      <c r="F59" s="6" t="n">
        <v>136.8</v>
      </c>
    </row>
    <row r="60" customFormat="false" ht="15" hidden="false" customHeight="false" outlineLevel="0" collapsed="false">
      <c r="A60" s="6" t="s">
        <v>21</v>
      </c>
      <c r="B60" s="6" t="s">
        <v>22</v>
      </c>
      <c r="C60" s="6" t="s">
        <v>81</v>
      </c>
      <c r="D60" s="6" t="n">
        <v>2.8</v>
      </c>
      <c r="E60" s="6" t="n">
        <v>69.8</v>
      </c>
      <c r="F60" s="6" t="n">
        <v>136.4</v>
      </c>
    </row>
    <row r="61" customFormat="false" ht="15" hidden="false" customHeight="false" outlineLevel="0" collapsed="false">
      <c r="A61" s="6" t="s">
        <v>21</v>
      </c>
      <c r="B61" s="6" t="s">
        <v>22</v>
      </c>
      <c r="C61" s="6" t="s">
        <v>82</v>
      </c>
      <c r="D61" s="6" t="n">
        <v>15.6</v>
      </c>
      <c r="E61" s="6" t="n">
        <v>69.6</v>
      </c>
      <c r="F61" s="6" t="n">
        <v>123.8</v>
      </c>
    </row>
    <row r="62" customFormat="false" ht="15" hidden="false" customHeight="false" outlineLevel="0" collapsed="false">
      <c r="A62" s="6" t="s">
        <v>21</v>
      </c>
      <c r="B62" s="6" t="s">
        <v>22</v>
      </c>
      <c r="C62" s="6" t="s">
        <v>83</v>
      </c>
      <c r="D62" s="6" t="n">
        <v>28.1</v>
      </c>
      <c r="E62" s="6" t="n">
        <v>46.5</v>
      </c>
      <c r="F62" s="6" t="n">
        <v>132.5</v>
      </c>
    </row>
    <row r="63" customFormat="false" ht="15" hidden="false" customHeight="false" outlineLevel="0" collapsed="false">
      <c r="A63" s="6" t="s">
        <v>21</v>
      </c>
      <c r="B63" s="6" t="s">
        <v>22</v>
      </c>
      <c r="C63" s="6" t="s">
        <v>84</v>
      </c>
      <c r="D63" s="6" t="n">
        <v>46.3</v>
      </c>
      <c r="E63" s="6" t="n">
        <v>90</v>
      </c>
      <c r="F63" s="6" t="n">
        <v>173.1</v>
      </c>
    </row>
    <row r="64" customFormat="false" ht="15" hidden="false" customHeight="false" outlineLevel="0" collapsed="false">
      <c r="A64" s="6" t="s">
        <v>21</v>
      </c>
      <c r="B64" s="6" t="s">
        <v>22</v>
      </c>
      <c r="C64" s="6" t="s">
        <v>85</v>
      </c>
      <c r="D64" s="6" t="n">
        <v>5.3</v>
      </c>
      <c r="E64" s="6" t="n">
        <v>79.7</v>
      </c>
      <c r="F64" s="6" t="n">
        <v>165.1</v>
      </c>
    </row>
    <row r="65" customFormat="false" ht="15" hidden="false" customHeight="false" outlineLevel="0" collapsed="false">
      <c r="A65" s="6" t="s">
        <v>21</v>
      </c>
      <c r="B65" s="6" t="s">
        <v>22</v>
      </c>
      <c r="C65" s="6" t="s">
        <v>86</v>
      </c>
      <c r="D65" s="6" t="n">
        <v>7.6</v>
      </c>
      <c r="E65" s="6" t="n">
        <v>59.2</v>
      </c>
      <c r="F65" s="6" t="n">
        <v>156.9</v>
      </c>
    </row>
    <row r="66" customFormat="false" ht="15" hidden="false" customHeight="false" outlineLevel="0" collapsed="false">
      <c r="A66" s="6" t="s">
        <v>21</v>
      </c>
      <c r="B66" s="6" t="s">
        <v>22</v>
      </c>
      <c r="C66" s="6" t="s">
        <v>87</v>
      </c>
      <c r="D66" s="6" t="n">
        <v>23.5</v>
      </c>
      <c r="E66" s="6" t="n">
        <v>36.4</v>
      </c>
      <c r="F66" s="6" t="n">
        <v>129.2</v>
      </c>
    </row>
    <row r="67" customFormat="false" ht="15" hidden="false" customHeight="false" outlineLevel="0" collapsed="false">
      <c r="A67" s="6" t="s">
        <v>21</v>
      </c>
      <c r="B67" s="6" t="s">
        <v>22</v>
      </c>
      <c r="C67" s="6" t="s">
        <v>88</v>
      </c>
      <c r="D67" s="6" t="n">
        <v>1</v>
      </c>
      <c r="E67" s="6" t="n">
        <v>32.1</v>
      </c>
      <c r="F67" s="6" t="n">
        <v>127.4</v>
      </c>
    </row>
    <row r="68" customFormat="false" ht="15" hidden="false" customHeight="false" outlineLevel="0" collapsed="false">
      <c r="A68" s="6" t="s">
        <v>21</v>
      </c>
      <c r="B68" s="6" t="s">
        <v>22</v>
      </c>
      <c r="C68" s="6" t="s">
        <v>89</v>
      </c>
      <c r="D68" s="6" t="n">
        <v>17.2</v>
      </c>
      <c r="E68" s="6" t="n">
        <v>41.7</v>
      </c>
      <c r="F68" s="6" t="n">
        <v>129</v>
      </c>
    </row>
    <row r="69" customFormat="false" ht="15" hidden="false" customHeight="false" outlineLevel="0" collapsed="false">
      <c r="A69" s="6" t="s">
        <v>21</v>
      </c>
      <c r="B69" s="6" t="s">
        <v>22</v>
      </c>
      <c r="C69" s="6" t="s">
        <v>90</v>
      </c>
      <c r="D69" s="6" t="n">
        <v>66.9</v>
      </c>
      <c r="E69" s="6" t="n">
        <v>85.1</v>
      </c>
      <c r="F69" s="6" t="n">
        <v>167.8</v>
      </c>
    </row>
    <row r="70" customFormat="false" ht="15" hidden="false" customHeight="false" outlineLevel="0" collapsed="false">
      <c r="A70" s="6" t="s">
        <v>21</v>
      </c>
      <c r="B70" s="6" t="s">
        <v>22</v>
      </c>
      <c r="C70" s="6" t="s">
        <v>91</v>
      </c>
      <c r="D70" s="6" t="n">
        <v>19</v>
      </c>
      <c r="E70" s="6" t="n">
        <v>103.1</v>
      </c>
      <c r="F70" s="6" t="n">
        <v>140.5</v>
      </c>
    </row>
    <row r="71" customFormat="false" ht="15" hidden="false" customHeight="false" outlineLevel="0" collapsed="false">
      <c r="A71" s="6" t="s">
        <v>21</v>
      </c>
      <c r="B71" s="6" t="s">
        <v>22</v>
      </c>
      <c r="C71" s="6" t="s">
        <v>92</v>
      </c>
      <c r="D71" s="6" t="n">
        <v>0.1</v>
      </c>
      <c r="E71" s="6" t="n">
        <v>86</v>
      </c>
      <c r="F71" s="6" t="n">
        <v>135.3</v>
      </c>
    </row>
    <row r="72" customFormat="false" ht="15" hidden="false" customHeight="false" outlineLevel="0" collapsed="false">
      <c r="A72" s="6" t="s">
        <v>21</v>
      </c>
      <c r="B72" s="6" t="s">
        <v>22</v>
      </c>
      <c r="C72" s="6" t="s">
        <v>93</v>
      </c>
      <c r="D72" s="6" t="n">
        <v>4</v>
      </c>
      <c r="E72" s="6" t="n">
        <v>23.1</v>
      </c>
      <c r="F72" s="6" t="n">
        <v>131.7</v>
      </c>
    </row>
    <row r="73" customFormat="false" ht="15" hidden="false" customHeight="false" outlineLevel="0" collapsed="false">
      <c r="A73" s="6" t="s">
        <v>21</v>
      </c>
      <c r="B73" s="6" t="s">
        <v>22</v>
      </c>
      <c r="C73" s="6" t="s">
        <v>94</v>
      </c>
      <c r="D73" s="6" t="n">
        <v>5.5</v>
      </c>
      <c r="E73" s="6" t="n">
        <v>9.6</v>
      </c>
      <c r="F73" s="6" t="n">
        <v>113.7</v>
      </c>
    </row>
    <row r="74" customFormat="false" ht="15" hidden="false" customHeight="false" outlineLevel="0" collapsed="false">
      <c r="A74" s="6" t="s">
        <v>21</v>
      </c>
      <c r="B74" s="6" t="s">
        <v>22</v>
      </c>
      <c r="C74" s="6" t="s">
        <v>95</v>
      </c>
      <c r="D74" s="6" t="n">
        <v>34.1</v>
      </c>
      <c r="E74" s="6" t="n">
        <v>43.6</v>
      </c>
      <c r="F74" s="6" t="n">
        <v>146.8</v>
      </c>
    </row>
    <row r="75" customFormat="false" ht="15" hidden="false" customHeight="false" outlineLevel="0" collapsed="false">
      <c r="A75" s="6" t="s">
        <v>21</v>
      </c>
      <c r="B75" s="6" t="s">
        <v>22</v>
      </c>
      <c r="C75" s="6" t="s">
        <v>96</v>
      </c>
      <c r="D75" s="6" t="n">
        <v>10.2</v>
      </c>
      <c r="E75" s="6" t="n">
        <v>49.8</v>
      </c>
      <c r="F75" s="6" t="n">
        <v>139.8</v>
      </c>
    </row>
    <row r="76" customFormat="false" ht="15" hidden="false" customHeight="false" outlineLevel="0" collapsed="false">
      <c r="A76" s="6" t="s">
        <v>21</v>
      </c>
      <c r="B76" s="6" t="s">
        <v>22</v>
      </c>
      <c r="C76" s="6" t="s">
        <v>97</v>
      </c>
      <c r="D76" s="6" t="n">
        <v>0.6</v>
      </c>
      <c r="E76" s="6" t="n">
        <v>44.9</v>
      </c>
      <c r="F76" s="6" t="n">
        <v>73.5</v>
      </c>
    </row>
    <row r="77" customFormat="false" ht="15" hidden="false" customHeight="false" outlineLevel="0" collapsed="false">
      <c r="A77" s="6" t="s">
        <v>21</v>
      </c>
      <c r="B77" s="6" t="s">
        <v>22</v>
      </c>
      <c r="C77" s="6" t="s">
        <v>98</v>
      </c>
      <c r="D77" s="6" t="n">
        <v>11.5</v>
      </c>
      <c r="E77" s="6" t="n">
        <v>22.3</v>
      </c>
      <c r="F77" s="6" t="n">
        <v>66</v>
      </c>
    </row>
    <row r="78" customFormat="false" ht="15" hidden="false" customHeight="false" outlineLevel="0" collapsed="false">
      <c r="A78" s="6" t="s">
        <v>21</v>
      </c>
      <c r="B78" s="6" t="s">
        <v>22</v>
      </c>
      <c r="C78" s="6" t="s">
        <v>99</v>
      </c>
      <c r="D78" s="6" t="n">
        <v>14.2</v>
      </c>
      <c r="E78" s="6" t="n">
        <v>26.3</v>
      </c>
      <c r="F78" s="6" t="n">
        <v>80.1</v>
      </c>
    </row>
    <row r="79" customFormat="false" ht="15" hidden="false" customHeight="false" outlineLevel="0" collapsed="false">
      <c r="A79" s="6" t="s">
        <v>21</v>
      </c>
      <c r="B79" s="6" t="s">
        <v>22</v>
      </c>
      <c r="C79" s="6" t="s">
        <v>100</v>
      </c>
      <c r="D79" s="6" t="n">
        <v>6.5</v>
      </c>
      <c r="E79" s="6" t="n">
        <v>32.2</v>
      </c>
      <c r="F79" s="6" t="n">
        <v>82.6</v>
      </c>
    </row>
    <row r="80" customFormat="false" ht="15" hidden="false" customHeight="false" outlineLevel="0" collapsed="false">
      <c r="A80" s="6" t="s">
        <v>21</v>
      </c>
      <c r="B80" s="6" t="s">
        <v>22</v>
      </c>
      <c r="C80" s="6" t="s">
        <v>101</v>
      </c>
      <c r="D80" s="6" t="n">
        <v>3.1</v>
      </c>
      <c r="E80" s="6" t="n">
        <v>23.8</v>
      </c>
      <c r="F80" s="6" t="n">
        <v>80.2</v>
      </c>
    </row>
    <row r="81" customFormat="false" ht="15" hidden="false" customHeight="false" outlineLevel="0" collapsed="false">
      <c r="A81" s="6" t="s">
        <v>21</v>
      </c>
      <c r="B81" s="6" t="s">
        <v>22</v>
      </c>
      <c r="C81" s="6" t="s">
        <v>102</v>
      </c>
      <c r="D81" s="6" t="n">
        <v>72.8</v>
      </c>
      <c r="E81" s="6" t="n">
        <v>82.4</v>
      </c>
      <c r="F81" s="6" t="n">
        <v>118.9</v>
      </c>
    </row>
    <row r="82" customFormat="false" ht="15" hidden="false" customHeight="false" outlineLevel="0" collapsed="false">
      <c r="A82" s="6" t="s">
        <v>21</v>
      </c>
      <c r="B82" s="6" t="s">
        <v>22</v>
      </c>
      <c r="C82" s="6" t="s">
        <v>103</v>
      </c>
      <c r="D82" s="6" t="n">
        <v>28.2</v>
      </c>
      <c r="E82" s="6" t="n">
        <v>104.1</v>
      </c>
      <c r="F82" s="6" t="n">
        <v>136.9</v>
      </c>
    </row>
    <row r="83" customFormat="false" ht="15" hidden="false" customHeight="false" outlineLevel="0" collapsed="false">
      <c r="A83" s="6" t="s">
        <v>21</v>
      </c>
      <c r="B83" s="6" t="s">
        <v>22</v>
      </c>
      <c r="C83" s="6" t="s">
        <v>104</v>
      </c>
      <c r="D83" s="6" t="n">
        <v>30.5</v>
      </c>
      <c r="E83" s="6" t="n">
        <v>131.5</v>
      </c>
      <c r="F83" s="6" t="n">
        <v>166.8</v>
      </c>
    </row>
    <row r="84" customFormat="false" ht="15" hidden="false" customHeight="false" outlineLevel="0" collapsed="false">
      <c r="A84" s="6" t="s">
        <v>21</v>
      </c>
      <c r="B84" s="6" t="s">
        <v>22</v>
      </c>
      <c r="C84" s="6" t="s">
        <v>105</v>
      </c>
      <c r="D84" s="6" t="n">
        <v>10.2</v>
      </c>
      <c r="E84" s="6" t="n">
        <v>68.9</v>
      </c>
      <c r="F84" s="6" t="n">
        <v>165.5</v>
      </c>
    </row>
    <row r="85" customFormat="false" ht="15" hidden="false" customHeight="false" outlineLevel="0" collapsed="false">
      <c r="A85" s="6" t="s">
        <v>21</v>
      </c>
      <c r="B85" s="6" t="s">
        <v>22</v>
      </c>
      <c r="C85" s="6" t="s">
        <v>106</v>
      </c>
      <c r="D85" s="6" t="n">
        <v>5.2</v>
      </c>
      <c r="E85" s="6" t="n">
        <v>45.9</v>
      </c>
      <c r="F85" s="6" t="n">
        <v>156.5</v>
      </c>
    </row>
    <row r="86" customFormat="false" ht="15" hidden="false" customHeight="false" outlineLevel="0" collapsed="false">
      <c r="A86" s="6" t="s">
        <v>21</v>
      </c>
      <c r="B86" s="6" t="s">
        <v>22</v>
      </c>
      <c r="C86" s="6" t="s">
        <v>107</v>
      </c>
      <c r="D86" s="6" t="n">
        <v>20.1</v>
      </c>
      <c r="E86" s="6" t="n">
        <v>35.5</v>
      </c>
      <c r="F86" s="6" t="n">
        <v>170.1</v>
      </c>
    </row>
    <row r="87" customFormat="false" ht="15" hidden="false" customHeight="false" outlineLevel="0" collapsed="false">
      <c r="A87" s="6" t="s">
        <v>21</v>
      </c>
      <c r="B87" s="6" t="s">
        <v>22</v>
      </c>
      <c r="C87" s="6" t="s">
        <v>108</v>
      </c>
      <c r="D87" s="6" t="n">
        <v>1.7</v>
      </c>
      <c r="E87" s="6" t="n">
        <v>27</v>
      </c>
      <c r="F87" s="6" t="n">
        <v>168.7</v>
      </c>
    </row>
    <row r="88" customFormat="false" ht="15" hidden="false" customHeight="false" outlineLevel="0" collapsed="false">
      <c r="A88" s="6" t="s">
        <v>21</v>
      </c>
      <c r="B88" s="6" t="s">
        <v>22</v>
      </c>
      <c r="C88" s="6" t="s">
        <v>109</v>
      </c>
      <c r="D88" s="6" t="n">
        <v>50.4</v>
      </c>
      <c r="E88" s="6" t="n">
        <v>72.2</v>
      </c>
      <c r="F88" s="6" t="n">
        <v>146.3</v>
      </c>
    </row>
    <row r="89" customFormat="false" ht="15" hidden="false" customHeight="false" outlineLevel="0" collapsed="false">
      <c r="A89" s="6" t="s">
        <v>21</v>
      </c>
      <c r="B89" s="6" t="s">
        <v>22</v>
      </c>
      <c r="C89" s="6" t="s">
        <v>110</v>
      </c>
      <c r="D89" s="6" t="n">
        <v>10.7</v>
      </c>
      <c r="E89" s="6" t="n">
        <v>62.8</v>
      </c>
      <c r="F89" s="6" t="n">
        <v>128.8</v>
      </c>
    </row>
    <row r="90" customFormat="false" ht="15" hidden="false" customHeight="false" outlineLevel="0" collapsed="false">
      <c r="A90" s="6" t="s">
        <v>21</v>
      </c>
      <c r="B90" s="6" t="s">
        <v>22</v>
      </c>
      <c r="C90" s="6" t="s">
        <v>111</v>
      </c>
      <c r="D90" s="6" t="n">
        <v>41.2</v>
      </c>
      <c r="E90" s="6" t="n">
        <v>102.3</v>
      </c>
      <c r="F90" s="6" t="n">
        <v>139.5</v>
      </c>
    </row>
    <row r="91" customFormat="false" ht="15" hidden="false" customHeight="false" outlineLevel="0" collapsed="false">
      <c r="A91" s="6" t="s">
        <v>21</v>
      </c>
      <c r="B91" s="6" t="s">
        <v>22</v>
      </c>
      <c r="C91" s="6" t="s">
        <v>112</v>
      </c>
      <c r="D91" s="6" t="n">
        <v>7.4</v>
      </c>
      <c r="E91" s="6" t="n">
        <v>59.3</v>
      </c>
      <c r="F91" s="6" t="n">
        <v>136.7</v>
      </c>
    </row>
    <row r="92" customFormat="false" ht="15" hidden="false" customHeight="false" outlineLevel="0" collapsed="false">
      <c r="A92" s="6" t="s">
        <v>21</v>
      </c>
      <c r="B92" s="6" t="s">
        <v>22</v>
      </c>
      <c r="C92" s="6" t="s">
        <v>113</v>
      </c>
      <c r="D92" s="6" t="n">
        <v>19.3</v>
      </c>
      <c r="E92" s="6" t="n">
        <v>67.9</v>
      </c>
      <c r="F92" s="6" t="n">
        <v>150.8</v>
      </c>
    </row>
    <row r="93" customFormat="false" ht="15" hidden="false" customHeight="false" outlineLevel="0" collapsed="false">
      <c r="A93" s="6" t="s">
        <v>21</v>
      </c>
      <c r="B93" s="6" t="s">
        <v>22</v>
      </c>
      <c r="C93" s="6" t="s">
        <v>114</v>
      </c>
      <c r="D93" s="6" t="n">
        <v>15</v>
      </c>
      <c r="E93" s="6" t="n">
        <v>41.7</v>
      </c>
      <c r="F93" s="6" t="n">
        <v>145.7</v>
      </c>
    </row>
    <row r="94" customFormat="false" ht="15" hidden="false" customHeight="false" outlineLevel="0" collapsed="false">
      <c r="A94" s="6" t="s">
        <v>115</v>
      </c>
      <c r="B94" s="6" t="s">
        <v>116</v>
      </c>
      <c r="C94" s="6" t="s">
        <v>23</v>
      </c>
      <c r="D94" s="6" t="n">
        <v>3.1</v>
      </c>
      <c r="E94" s="6" t="n">
        <v>3.1</v>
      </c>
      <c r="F94" s="6" t="n">
        <v>3.1</v>
      </c>
    </row>
    <row r="95" customFormat="false" ht="15" hidden="false" customHeight="false" outlineLevel="0" collapsed="false">
      <c r="A95" s="6" t="s">
        <v>115</v>
      </c>
      <c r="B95" s="6" t="s">
        <v>116</v>
      </c>
      <c r="C95" s="6" t="s">
        <v>24</v>
      </c>
      <c r="D95" s="6" t="n">
        <v>6.6</v>
      </c>
      <c r="E95" s="6" t="n">
        <v>9.7</v>
      </c>
      <c r="F95" s="6" t="n">
        <v>9.7</v>
      </c>
    </row>
    <row r="96" customFormat="false" ht="15" hidden="false" customHeight="false" outlineLevel="0" collapsed="false">
      <c r="A96" s="6" t="s">
        <v>115</v>
      </c>
      <c r="B96" s="6" t="s">
        <v>116</v>
      </c>
      <c r="C96" s="6" t="s">
        <v>25</v>
      </c>
      <c r="D96" s="6" t="n">
        <v>8.9</v>
      </c>
      <c r="E96" s="6" t="n">
        <v>18.6</v>
      </c>
      <c r="F96" s="6" t="n">
        <v>18.6</v>
      </c>
    </row>
    <row r="97" customFormat="false" ht="15" hidden="false" customHeight="false" outlineLevel="0" collapsed="false">
      <c r="A97" s="6" t="s">
        <v>115</v>
      </c>
      <c r="B97" s="6" t="s">
        <v>116</v>
      </c>
      <c r="C97" s="6" t="s">
        <v>26</v>
      </c>
      <c r="D97" s="6" t="n">
        <v>38.9</v>
      </c>
      <c r="E97" s="6" t="n">
        <v>54.4</v>
      </c>
      <c r="F97" s="6" t="n">
        <v>57.5</v>
      </c>
    </row>
    <row r="98" customFormat="false" ht="15" hidden="false" customHeight="false" outlineLevel="0" collapsed="false">
      <c r="A98" s="6" t="s">
        <v>115</v>
      </c>
      <c r="B98" s="6" t="s">
        <v>116</v>
      </c>
      <c r="C98" s="6" t="s">
        <v>27</v>
      </c>
      <c r="D98" s="6" t="n">
        <v>20.7</v>
      </c>
      <c r="E98" s="6" t="n">
        <v>68.5</v>
      </c>
      <c r="F98" s="6" t="n">
        <v>78.2</v>
      </c>
    </row>
    <row r="99" customFormat="false" ht="15" hidden="false" customHeight="false" outlineLevel="0" collapsed="false">
      <c r="A99" s="6" t="s">
        <v>115</v>
      </c>
      <c r="B99" s="6" t="s">
        <v>116</v>
      </c>
      <c r="C99" s="6" t="s">
        <v>28</v>
      </c>
      <c r="D99" s="6" t="n">
        <v>10.1</v>
      </c>
      <c r="E99" s="6" t="n">
        <v>69.7</v>
      </c>
      <c r="F99" s="6" t="n">
        <v>88.3</v>
      </c>
    </row>
    <row r="100" customFormat="false" ht="15" hidden="false" customHeight="false" outlineLevel="0" collapsed="false">
      <c r="A100" s="6" t="s">
        <v>115</v>
      </c>
      <c r="B100" s="6" t="s">
        <v>116</v>
      </c>
      <c r="C100" s="6" t="s">
        <v>29</v>
      </c>
      <c r="D100" s="6" t="n">
        <v>1.7</v>
      </c>
      <c r="E100" s="6" t="n">
        <v>32.5</v>
      </c>
      <c r="F100" s="6" t="n">
        <v>90</v>
      </c>
    </row>
    <row r="101" customFormat="false" ht="15" hidden="false" customHeight="false" outlineLevel="0" collapsed="false">
      <c r="A101" s="6" t="s">
        <v>115</v>
      </c>
      <c r="B101" s="6" t="s">
        <v>116</v>
      </c>
      <c r="C101" s="6" t="s">
        <v>30</v>
      </c>
      <c r="D101" s="6" t="n">
        <v>7.1</v>
      </c>
      <c r="E101" s="6" t="n">
        <v>18.9</v>
      </c>
      <c r="F101" s="6" t="n">
        <v>94</v>
      </c>
    </row>
    <row r="102" customFormat="false" ht="15" hidden="false" customHeight="false" outlineLevel="0" collapsed="false">
      <c r="A102" s="6" t="s">
        <v>115</v>
      </c>
      <c r="B102" s="6" t="s">
        <v>116</v>
      </c>
      <c r="C102" s="6" t="s">
        <v>31</v>
      </c>
      <c r="D102" s="6" t="n">
        <v>4</v>
      </c>
      <c r="E102" s="6" t="n">
        <v>12.8</v>
      </c>
      <c r="F102" s="6" t="n">
        <v>91.4</v>
      </c>
    </row>
    <row r="103" customFormat="false" ht="15" hidden="false" customHeight="false" outlineLevel="0" collapsed="false">
      <c r="A103" s="6" t="s">
        <v>115</v>
      </c>
      <c r="B103" s="6" t="s">
        <v>116</v>
      </c>
      <c r="C103" s="6" t="s">
        <v>32</v>
      </c>
      <c r="D103" s="6" t="n">
        <v>5.8</v>
      </c>
      <c r="E103" s="6" t="n">
        <v>16.9</v>
      </c>
      <c r="F103" s="6" t="n">
        <v>88.3</v>
      </c>
    </row>
    <row r="104" customFormat="false" ht="15" hidden="false" customHeight="false" outlineLevel="0" collapsed="false">
      <c r="A104" s="6" t="s">
        <v>115</v>
      </c>
      <c r="B104" s="6" t="s">
        <v>116</v>
      </c>
      <c r="C104" s="6" t="s">
        <v>33</v>
      </c>
      <c r="D104" s="6" t="n">
        <v>28.3</v>
      </c>
      <c r="E104" s="6" t="n">
        <v>38.1</v>
      </c>
      <c r="F104" s="6" t="n">
        <v>77.7</v>
      </c>
    </row>
    <row r="105" customFormat="false" ht="15" hidden="false" customHeight="false" outlineLevel="0" collapsed="false">
      <c r="A105" s="6" t="s">
        <v>115</v>
      </c>
      <c r="B105" s="6" t="s">
        <v>116</v>
      </c>
      <c r="C105" s="6" t="s">
        <v>34</v>
      </c>
      <c r="D105" s="6" t="n">
        <v>36.9</v>
      </c>
      <c r="E105" s="6" t="n">
        <v>71</v>
      </c>
      <c r="F105" s="6" t="n">
        <v>93.9</v>
      </c>
    </row>
    <row r="106" customFormat="false" ht="15" hidden="false" customHeight="false" outlineLevel="0" collapsed="false">
      <c r="A106" s="6" t="s">
        <v>115</v>
      </c>
      <c r="B106" s="6" t="s">
        <v>116</v>
      </c>
      <c r="C106" s="6" t="s">
        <v>35</v>
      </c>
      <c r="D106" s="6" t="n">
        <v>4.3</v>
      </c>
      <c r="E106" s="6" t="n">
        <v>69.5</v>
      </c>
      <c r="F106" s="6" t="n">
        <v>88.1</v>
      </c>
    </row>
    <row r="107" customFormat="false" ht="15" hidden="false" customHeight="false" outlineLevel="0" collapsed="false">
      <c r="A107" s="6" t="s">
        <v>115</v>
      </c>
      <c r="B107" s="6" t="s">
        <v>116</v>
      </c>
      <c r="C107" s="6" t="s">
        <v>36</v>
      </c>
      <c r="D107" s="6" t="n">
        <v>47.3</v>
      </c>
      <c r="E107" s="6" t="n">
        <v>88.5</v>
      </c>
      <c r="F107" s="6" t="n">
        <v>133.7</v>
      </c>
    </row>
    <row r="108" customFormat="false" ht="15" hidden="false" customHeight="false" outlineLevel="0" collapsed="false">
      <c r="A108" s="6" t="s">
        <v>115</v>
      </c>
      <c r="B108" s="6" t="s">
        <v>116</v>
      </c>
      <c r="C108" s="6" t="s">
        <v>37</v>
      </c>
      <c r="D108" s="6" t="n">
        <v>2.2</v>
      </c>
      <c r="E108" s="6" t="n">
        <v>53.8</v>
      </c>
      <c r="F108" s="6" t="n">
        <v>128.8</v>
      </c>
    </row>
    <row r="109" customFormat="false" ht="15" hidden="false" customHeight="false" outlineLevel="0" collapsed="false">
      <c r="A109" s="6" t="s">
        <v>115</v>
      </c>
      <c r="B109" s="6" t="s">
        <v>116</v>
      </c>
      <c r="C109" s="6" t="s">
        <v>38</v>
      </c>
      <c r="D109" s="6" t="n">
        <v>13.8</v>
      </c>
      <c r="E109" s="6" t="n">
        <v>63.3</v>
      </c>
      <c r="F109" s="6" t="n">
        <v>138.6</v>
      </c>
    </row>
    <row r="110" customFormat="false" ht="15" hidden="false" customHeight="false" outlineLevel="0" collapsed="false">
      <c r="A110" s="6" t="s">
        <v>115</v>
      </c>
      <c r="B110" s="6" t="s">
        <v>116</v>
      </c>
      <c r="C110" s="6" t="s">
        <v>39</v>
      </c>
      <c r="D110" s="6" t="n">
        <v>7.6</v>
      </c>
      <c r="E110" s="6" t="n">
        <v>23.6</v>
      </c>
      <c r="F110" s="6" t="n">
        <v>140.4</v>
      </c>
    </row>
    <row r="111" customFormat="false" ht="15" hidden="false" customHeight="false" outlineLevel="0" collapsed="false">
      <c r="A111" s="6" t="s">
        <v>115</v>
      </c>
      <c r="B111" s="6" t="s">
        <v>116</v>
      </c>
      <c r="C111" s="6" t="s">
        <v>40</v>
      </c>
      <c r="D111" s="6" t="n">
        <v>5</v>
      </c>
      <c r="E111" s="6" t="n">
        <v>26.4</v>
      </c>
      <c r="F111" s="6" t="n">
        <v>117.1</v>
      </c>
    </row>
    <row r="112" customFormat="false" ht="15" hidden="false" customHeight="false" outlineLevel="0" collapsed="false">
      <c r="A112" s="6" t="s">
        <v>115</v>
      </c>
      <c r="B112" s="6" t="s">
        <v>116</v>
      </c>
      <c r="C112" s="6" t="s">
        <v>41</v>
      </c>
      <c r="D112" s="6" t="n">
        <v>33.3</v>
      </c>
      <c r="E112" s="6" t="n">
        <v>45.9</v>
      </c>
      <c r="F112" s="6" t="n">
        <v>113.5</v>
      </c>
    </row>
    <row r="113" customFormat="false" ht="15" hidden="false" customHeight="false" outlineLevel="0" collapsed="false">
      <c r="A113" s="6" t="s">
        <v>115</v>
      </c>
      <c r="B113" s="6" t="s">
        <v>116</v>
      </c>
      <c r="C113" s="6" t="s">
        <v>42</v>
      </c>
      <c r="D113" s="6" t="n">
        <v>4.5</v>
      </c>
      <c r="E113" s="6" t="n">
        <v>42.8</v>
      </c>
      <c r="F113" s="6" t="n">
        <v>113.7</v>
      </c>
    </row>
    <row r="114" customFormat="false" ht="15" hidden="false" customHeight="false" outlineLevel="0" collapsed="false">
      <c r="A114" s="6" t="s">
        <v>115</v>
      </c>
      <c r="B114" s="6" t="s">
        <v>116</v>
      </c>
      <c r="C114" s="6" t="s">
        <v>43</v>
      </c>
      <c r="D114" s="6" t="n">
        <v>8.9</v>
      </c>
      <c r="E114" s="6" t="n">
        <v>46.7</v>
      </c>
      <c r="F114" s="6" t="n">
        <v>75.3</v>
      </c>
    </row>
    <row r="115" customFormat="false" ht="15" hidden="false" customHeight="false" outlineLevel="0" collapsed="false">
      <c r="A115" s="6" t="s">
        <v>115</v>
      </c>
      <c r="B115" s="6" t="s">
        <v>116</v>
      </c>
      <c r="C115" s="6" t="s">
        <v>44</v>
      </c>
      <c r="D115" s="6" t="n">
        <v>5.5</v>
      </c>
      <c r="E115" s="6" t="n">
        <v>18.9</v>
      </c>
      <c r="F115" s="6" t="n">
        <v>78.6</v>
      </c>
    </row>
    <row r="116" customFormat="false" ht="15" hidden="false" customHeight="false" outlineLevel="0" collapsed="false">
      <c r="A116" s="6" t="s">
        <v>115</v>
      </c>
      <c r="B116" s="6" t="s">
        <v>116</v>
      </c>
      <c r="C116" s="6" t="s">
        <v>45</v>
      </c>
      <c r="D116" s="6" t="n">
        <v>31.2</v>
      </c>
      <c r="E116" s="6" t="n">
        <v>45.6</v>
      </c>
      <c r="F116" s="6" t="n">
        <v>96</v>
      </c>
    </row>
    <row r="117" customFormat="false" ht="15" hidden="false" customHeight="false" outlineLevel="0" collapsed="false">
      <c r="A117" s="6" t="s">
        <v>115</v>
      </c>
      <c r="B117" s="6" t="s">
        <v>116</v>
      </c>
      <c r="C117" s="6" t="s">
        <v>46</v>
      </c>
      <c r="D117" s="6" t="n">
        <v>0.4</v>
      </c>
      <c r="E117" s="6" t="n">
        <v>37.1</v>
      </c>
      <c r="F117" s="6" t="n">
        <v>88.8</v>
      </c>
    </row>
    <row r="118" customFormat="false" ht="15" hidden="false" customHeight="false" outlineLevel="0" collapsed="false">
      <c r="A118" s="6" t="s">
        <v>115</v>
      </c>
      <c r="B118" s="6" t="s">
        <v>116</v>
      </c>
      <c r="C118" s="6" t="s">
        <v>47</v>
      </c>
      <c r="D118" s="6" t="n">
        <v>63.7</v>
      </c>
      <c r="E118" s="6" t="n">
        <v>95.3</v>
      </c>
      <c r="F118" s="6" t="n">
        <v>147.5</v>
      </c>
    </row>
    <row r="119" customFormat="false" ht="15" hidden="false" customHeight="false" outlineLevel="0" collapsed="false">
      <c r="A119" s="6" t="s">
        <v>115</v>
      </c>
      <c r="B119" s="6" t="s">
        <v>116</v>
      </c>
      <c r="C119" s="6" t="s">
        <v>48</v>
      </c>
      <c r="D119" s="6" t="n">
        <v>2.1</v>
      </c>
      <c r="E119" s="6" t="n">
        <v>66.2</v>
      </c>
      <c r="F119" s="6" t="n">
        <v>116.3</v>
      </c>
    </row>
    <row r="120" customFormat="false" ht="15" hidden="false" customHeight="false" outlineLevel="0" collapsed="false">
      <c r="A120" s="6" t="s">
        <v>115</v>
      </c>
      <c r="B120" s="6" t="s">
        <v>116</v>
      </c>
      <c r="C120" s="6" t="s">
        <v>49</v>
      </c>
      <c r="D120" s="6" t="n">
        <v>100.2</v>
      </c>
      <c r="E120" s="6" t="n">
        <v>166</v>
      </c>
      <c r="F120" s="6" t="n">
        <v>212</v>
      </c>
    </row>
    <row r="121" customFormat="false" ht="15" hidden="false" customHeight="false" outlineLevel="0" collapsed="false">
      <c r="A121" s="6" t="s">
        <v>115</v>
      </c>
      <c r="B121" s="6" t="s">
        <v>116</v>
      </c>
      <c r="C121" s="6" t="s">
        <v>50</v>
      </c>
      <c r="D121" s="6" t="n">
        <v>6.8</v>
      </c>
      <c r="E121" s="6" t="n">
        <v>109.1</v>
      </c>
      <c r="F121" s="6" t="n">
        <v>209.9</v>
      </c>
    </row>
    <row r="122" customFormat="false" ht="15" hidden="false" customHeight="false" outlineLevel="0" collapsed="false">
      <c r="A122" s="6" t="s">
        <v>115</v>
      </c>
      <c r="B122" s="6" t="s">
        <v>116</v>
      </c>
      <c r="C122" s="6" t="s">
        <v>51</v>
      </c>
      <c r="D122" s="6" t="n">
        <v>48.9</v>
      </c>
      <c r="E122" s="6" t="n">
        <v>155.9</v>
      </c>
      <c r="F122" s="6" t="n">
        <v>253.3</v>
      </c>
    </row>
    <row r="123" customFormat="false" ht="15" hidden="false" customHeight="false" outlineLevel="0" collapsed="false">
      <c r="A123" s="6" t="s">
        <v>115</v>
      </c>
      <c r="B123" s="6" t="s">
        <v>116</v>
      </c>
      <c r="C123" s="6" t="s">
        <v>52</v>
      </c>
      <c r="D123" s="6" t="n">
        <v>8</v>
      </c>
      <c r="E123" s="6" t="n">
        <v>63.7</v>
      </c>
      <c r="F123" s="6" t="n">
        <v>230.1</v>
      </c>
    </row>
    <row r="124" customFormat="false" ht="15" hidden="false" customHeight="false" outlineLevel="0" collapsed="false">
      <c r="A124" s="6" t="s">
        <v>115</v>
      </c>
      <c r="B124" s="6" t="s">
        <v>116</v>
      </c>
      <c r="C124" s="6" t="s">
        <v>53</v>
      </c>
      <c r="D124" s="6" t="n">
        <v>17</v>
      </c>
      <c r="E124" s="6" t="n">
        <v>73.9</v>
      </c>
      <c r="F124" s="6" t="n">
        <v>246.7</v>
      </c>
    </row>
    <row r="125" customFormat="false" ht="15" hidden="false" customHeight="false" outlineLevel="0" collapsed="false">
      <c r="A125" s="6" t="s">
        <v>115</v>
      </c>
      <c r="B125" s="6" t="s">
        <v>116</v>
      </c>
      <c r="C125" s="6" t="s">
        <v>54</v>
      </c>
      <c r="D125" s="6" t="n">
        <v>9.2</v>
      </c>
      <c r="E125" s="6" t="n">
        <v>34.2</v>
      </c>
      <c r="F125" s="6" t="n">
        <v>192.2</v>
      </c>
    </row>
    <row r="126" customFormat="false" ht="15" hidden="false" customHeight="false" outlineLevel="0" collapsed="false">
      <c r="A126" s="6" t="s">
        <v>115</v>
      </c>
      <c r="B126" s="6" t="s">
        <v>116</v>
      </c>
      <c r="C126" s="6" t="s">
        <v>55</v>
      </c>
      <c r="D126" s="6" t="n">
        <v>8.1</v>
      </c>
      <c r="E126" s="6" t="n">
        <v>34.3</v>
      </c>
      <c r="F126" s="6" t="n">
        <v>198.2</v>
      </c>
    </row>
    <row r="127" customFormat="false" ht="15" hidden="false" customHeight="false" outlineLevel="0" collapsed="false">
      <c r="A127" s="6" t="s">
        <v>115</v>
      </c>
      <c r="B127" s="6" t="s">
        <v>116</v>
      </c>
      <c r="C127" s="6" t="s">
        <v>56</v>
      </c>
      <c r="D127" s="6" t="n">
        <v>13.8</v>
      </c>
      <c r="E127" s="6" t="n">
        <v>31.1</v>
      </c>
      <c r="F127" s="6" t="n">
        <v>111.8</v>
      </c>
    </row>
    <row r="128" customFormat="false" ht="15" hidden="false" customHeight="false" outlineLevel="0" collapsed="false">
      <c r="A128" s="6" t="s">
        <v>115</v>
      </c>
      <c r="B128" s="6" t="s">
        <v>116</v>
      </c>
      <c r="C128" s="6" t="s">
        <v>57</v>
      </c>
      <c r="D128" s="6" t="n">
        <v>17.6</v>
      </c>
      <c r="E128" s="6" t="n">
        <v>39.5</v>
      </c>
      <c r="F128" s="6" t="n">
        <v>122.6</v>
      </c>
    </row>
    <row r="129" customFormat="false" ht="15" hidden="false" customHeight="false" outlineLevel="0" collapsed="false">
      <c r="A129" s="6" t="s">
        <v>115</v>
      </c>
      <c r="B129" s="6" t="s">
        <v>116</v>
      </c>
      <c r="C129" s="6" t="s">
        <v>58</v>
      </c>
      <c r="D129" s="6" t="n">
        <v>12.8</v>
      </c>
      <c r="E129" s="6" t="n">
        <v>44.2</v>
      </c>
      <c r="F129" s="6" t="n">
        <v>86.5</v>
      </c>
    </row>
    <row r="130" customFormat="false" ht="15" hidden="false" customHeight="false" outlineLevel="0" collapsed="false">
      <c r="A130" s="6" t="s">
        <v>115</v>
      </c>
      <c r="B130" s="6" t="s">
        <v>116</v>
      </c>
      <c r="C130" s="6" t="s">
        <v>59</v>
      </c>
      <c r="D130" s="6" t="n">
        <v>11.4</v>
      </c>
      <c r="E130" s="6" t="n">
        <v>41.8</v>
      </c>
      <c r="F130" s="6" t="n">
        <v>89.9</v>
      </c>
    </row>
    <row r="131" customFormat="false" ht="15" hidden="false" customHeight="false" outlineLevel="0" collapsed="false">
      <c r="A131" s="6" t="s">
        <v>115</v>
      </c>
      <c r="B131" s="6" t="s">
        <v>116</v>
      </c>
      <c r="C131" s="6" t="s">
        <v>60</v>
      </c>
      <c r="D131" s="6" t="n">
        <v>4.1</v>
      </c>
      <c r="E131" s="6" t="n">
        <v>28.3</v>
      </c>
      <c r="F131" s="6" t="n">
        <v>77</v>
      </c>
    </row>
    <row r="132" customFormat="false" ht="15" hidden="false" customHeight="false" outlineLevel="0" collapsed="false">
      <c r="A132" s="6" t="s">
        <v>115</v>
      </c>
      <c r="B132" s="6" t="s">
        <v>116</v>
      </c>
      <c r="C132" s="6" t="s">
        <v>61</v>
      </c>
      <c r="D132" s="6" t="n">
        <v>9.6</v>
      </c>
      <c r="E132" s="6" t="n">
        <v>25.1</v>
      </c>
      <c r="F132" s="6" t="n">
        <v>77.4</v>
      </c>
    </row>
    <row r="133" customFormat="false" ht="15" hidden="false" customHeight="false" outlineLevel="0" collapsed="false">
      <c r="A133" s="6" t="s">
        <v>115</v>
      </c>
      <c r="B133" s="6" t="s">
        <v>116</v>
      </c>
      <c r="C133" s="6" t="s">
        <v>62</v>
      </c>
      <c r="D133" s="6" t="n">
        <v>43.9</v>
      </c>
      <c r="E133" s="6" t="n">
        <v>57.6</v>
      </c>
      <c r="F133" s="6" t="n">
        <v>113.2</v>
      </c>
    </row>
    <row r="134" customFormat="false" ht="15" hidden="false" customHeight="false" outlineLevel="0" collapsed="false">
      <c r="A134" s="6" t="s">
        <v>115</v>
      </c>
      <c r="B134" s="6" t="s">
        <v>116</v>
      </c>
      <c r="C134" s="6" t="s">
        <v>63</v>
      </c>
      <c r="D134" s="6" t="n">
        <v>3.8</v>
      </c>
      <c r="E134" s="6" t="n">
        <v>57.3</v>
      </c>
      <c r="F134" s="6" t="n">
        <v>103.2</v>
      </c>
    </row>
    <row r="135" customFormat="false" ht="15" hidden="false" customHeight="false" outlineLevel="0" collapsed="false">
      <c r="A135" s="6" t="s">
        <v>115</v>
      </c>
      <c r="B135" s="6" t="s">
        <v>116</v>
      </c>
      <c r="C135" s="6" t="s">
        <v>64</v>
      </c>
      <c r="D135" s="6" t="n">
        <v>48.7</v>
      </c>
      <c r="E135" s="6" t="n">
        <v>96.4</v>
      </c>
      <c r="F135" s="6" t="n">
        <v>134.3</v>
      </c>
    </row>
    <row r="136" customFormat="false" ht="15" hidden="false" customHeight="false" outlineLevel="0" collapsed="false">
      <c r="A136" s="6" t="s">
        <v>115</v>
      </c>
      <c r="B136" s="6" t="s">
        <v>116</v>
      </c>
      <c r="C136" s="6" t="s">
        <v>65</v>
      </c>
      <c r="D136" s="6" t="n">
        <v>33</v>
      </c>
      <c r="E136" s="6" t="n">
        <v>85.5</v>
      </c>
      <c r="F136" s="6" t="n">
        <v>154.5</v>
      </c>
    </row>
    <row r="137" customFormat="false" ht="15" hidden="false" customHeight="false" outlineLevel="0" collapsed="false">
      <c r="A137" s="6" t="s">
        <v>115</v>
      </c>
      <c r="B137" s="6" t="s">
        <v>116</v>
      </c>
      <c r="C137" s="6" t="s">
        <v>66</v>
      </c>
      <c r="D137" s="6" t="n">
        <v>17.8</v>
      </c>
      <c r="E137" s="6" t="n">
        <v>99.5</v>
      </c>
      <c r="F137" s="6" t="n">
        <v>160.9</v>
      </c>
    </row>
    <row r="138" customFormat="false" ht="15" hidden="false" customHeight="false" outlineLevel="0" collapsed="false">
      <c r="A138" s="6" t="s">
        <v>115</v>
      </c>
      <c r="B138" s="6" t="s">
        <v>116</v>
      </c>
      <c r="C138" s="6" t="s">
        <v>67</v>
      </c>
      <c r="D138" s="6" t="n">
        <v>26.6</v>
      </c>
      <c r="E138" s="6" t="n">
        <v>77.4</v>
      </c>
      <c r="F138" s="6" t="n">
        <v>183.4</v>
      </c>
    </row>
    <row r="139" customFormat="false" ht="15" hidden="false" customHeight="false" outlineLevel="0" collapsed="false">
      <c r="A139" s="6" t="s">
        <v>115</v>
      </c>
      <c r="B139" s="6" t="s">
        <v>116</v>
      </c>
      <c r="C139" s="6" t="s">
        <v>68</v>
      </c>
      <c r="D139" s="6" t="n">
        <v>2.1</v>
      </c>
      <c r="E139" s="6" t="n">
        <v>46.5</v>
      </c>
      <c r="F139" s="6" t="n">
        <v>175.9</v>
      </c>
    </row>
    <row r="140" customFormat="false" ht="15" hidden="false" customHeight="false" outlineLevel="0" collapsed="false">
      <c r="A140" s="6" t="s">
        <v>115</v>
      </c>
      <c r="B140" s="6" t="s">
        <v>116</v>
      </c>
      <c r="C140" s="6" t="s">
        <v>69</v>
      </c>
      <c r="D140" s="6" t="n">
        <v>14.3</v>
      </c>
      <c r="E140" s="6" t="n">
        <v>43</v>
      </c>
      <c r="F140" s="6" t="n">
        <v>146.3</v>
      </c>
    </row>
    <row r="141" customFormat="false" ht="15" hidden="false" customHeight="false" outlineLevel="0" collapsed="false">
      <c r="A141" s="6" t="s">
        <v>115</v>
      </c>
      <c r="B141" s="6" t="s">
        <v>116</v>
      </c>
      <c r="C141" s="6" t="s">
        <v>70</v>
      </c>
      <c r="D141" s="6" t="n">
        <v>7.5</v>
      </c>
      <c r="E141" s="6" t="n">
        <v>23.9</v>
      </c>
      <c r="F141" s="6" t="n">
        <v>150</v>
      </c>
    </row>
    <row r="142" customFormat="false" ht="15" hidden="false" customHeight="false" outlineLevel="0" collapsed="false">
      <c r="A142" s="6" t="s">
        <v>115</v>
      </c>
      <c r="B142" s="6" t="s">
        <v>116</v>
      </c>
      <c r="C142" s="6" t="s">
        <v>71</v>
      </c>
      <c r="D142" s="6" t="n">
        <v>7.9</v>
      </c>
      <c r="E142" s="6" t="n">
        <v>29.7</v>
      </c>
      <c r="F142" s="6" t="n">
        <v>109.2</v>
      </c>
    </row>
    <row r="143" customFormat="false" ht="15" hidden="false" customHeight="false" outlineLevel="0" collapsed="false">
      <c r="A143" s="6" t="s">
        <v>115</v>
      </c>
      <c r="B143" s="6" t="s">
        <v>116</v>
      </c>
      <c r="C143" s="6" t="s">
        <v>72</v>
      </c>
      <c r="D143" s="6" t="n">
        <v>40.8</v>
      </c>
      <c r="E143" s="6" t="n">
        <v>56.2</v>
      </c>
      <c r="F143" s="6" t="n">
        <v>117</v>
      </c>
    </row>
    <row r="144" customFormat="false" ht="15" hidden="false" customHeight="false" outlineLevel="0" collapsed="false">
      <c r="A144" s="6" t="s">
        <v>115</v>
      </c>
      <c r="B144" s="6" t="s">
        <v>116</v>
      </c>
      <c r="C144" s="6" t="s">
        <v>73</v>
      </c>
      <c r="D144" s="6" t="n">
        <v>8.1</v>
      </c>
      <c r="E144" s="6" t="n">
        <v>56.8</v>
      </c>
      <c r="F144" s="6" t="n">
        <v>107.3</v>
      </c>
    </row>
    <row r="145" customFormat="false" ht="15" hidden="false" customHeight="false" outlineLevel="0" collapsed="false">
      <c r="A145" s="6" t="s">
        <v>115</v>
      </c>
      <c r="B145" s="6" t="s">
        <v>116</v>
      </c>
      <c r="C145" s="6" t="s">
        <v>74</v>
      </c>
      <c r="D145" s="6" t="n">
        <v>14.8</v>
      </c>
      <c r="E145" s="6" t="n">
        <v>63.7</v>
      </c>
      <c r="F145" s="6" t="n">
        <v>95.5</v>
      </c>
    </row>
    <row r="146" customFormat="false" ht="15" hidden="false" customHeight="false" outlineLevel="0" collapsed="false">
      <c r="A146" s="6" t="s">
        <v>115</v>
      </c>
      <c r="B146" s="6" t="s">
        <v>116</v>
      </c>
      <c r="C146" s="6" t="s">
        <v>75</v>
      </c>
      <c r="D146" s="6" t="n">
        <v>0.4</v>
      </c>
      <c r="E146" s="6" t="n">
        <v>23.3</v>
      </c>
      <c r="F146" s="6" t="n">
        <v>93.8</v>
      </c>
    </row>
    <row r="147" customFormat="false" ht="15" hidden="false" customHeight="false" outlineLevel="0" collapsed="false">
      <c r="A147" s="6" t="s">
        <v>115</v>
      </c>
      <c r="B147" s="6" t="s">
        <v>116</v>
      </c>
      <c r="C147" s="6" t="s">
        <v>76</v>
      </c>
      <c r="D147" s="6" t="n">
        <v>48.9</v>
      </c>
      <c r="E147" s="6" t="n">
        <v>64.1</v>
      </c>
      <c r="F147" s="6" t="n">
        <v>128.4</v>
      </c>
    </row>
    <row r="148" customFormat="false" ht="15" hidden="false" customHeight="false" outlineLevel="0" collapsed="false">
      <c r="A148" s="6" t="s">
        <v>115</v>
      </c>
      <c r="B148" s="6" t="s">
        <v>116</v>
      </c>
      <c r="C148" s="6" t="s">
        <v>77</v>
      </c>
      <c r="D148" s="6" t="n">
        <v>25.2</v>
      </c>
      <c r="E148" s="6" t="n">
        <v>74.5</v>
      </c>
      <c r="F148" s="6" t="n">
        <v>146.1</v>
      </c>
    </row>
    <row r="149" customFormat="false" ht="15" hidden="false" customHeight="false" outlineLevel="0" collapsed="false">
      <c r="A149" s="6" t="s">
        <v>115</v>
      </c>
      <c r="B149" s="6" t="s">
        <v>116</v>
      </c>
      <c r="C149" s="6" t="s">
        <v>78</v>
      </c>
      <c r="D149" s="6" t="n">
        <v>10</v>
      </c>
      <c r="E149" s="6" t="n">
        <v>84.1</v>
      </c>
      <c r="F149" s="6" t="n">
        <v>148.2</v>
      </c>
    </row>
    <row r="150" customFormat="false" ht="15" hidden="false" customHeight="false" outlineLevel="0" collapsed="false">
      <c r="A150" s="6" t="s">
        <v>115</v>
      </c>
      <c r="B150" s="6" t="s">
        <v>116</v>
      </c>
      <c r="C150" s="6" t="s">
        <v>79</v>
      </c>
      <c r="D150" s="6" t="n">
        <v>7.1</v>
      </c>
      <c r="E150" s="6" t="n">
        <v>42.3</v>
      </c>
      <c r="F150" s="6" t="n">
        <v>114.5</v>
      </c>
    </row>
    <row r="151" customFormat="false" ht="15" hidden="false" customHeight="false" outlineLevel="0" collapsed="false">
      <c r="A151" s="6" t="s">
        <v>115</v>
      </c>
      <c r="B151" s="6" t="s">
        <v>116</v>
      </c>
      <c r="C151" s="6" t="s">
        <v>80</v>
      </c>
      <c r="D151" s="6" t="n">
        <v>19.6</v>
      </c>
      <c r="E151" s="6" t="n">
        <v>36.7</v>
      </c>
      <c r="F151" s="6" t="n">
        <v>126</v>
      </c>
    </row>
    <row r="152" customFormat="false" ht="15" hidden="false" customHeight="false" outlineLevel="0" collapsed="false">
      <c r="A152" s="6" t="s">
        <v>115</v>
      </c>
      <c r="B152" s="6" t="s">
        <v>116</v>
      </c>
      <c r="C152" s="6" t="s">
        <v>81</v>
      </c>
      <c r="D152" s="6" t="n">
        <v>32.6</v>
      </c>
      <c r="E152" s="6" t="n">
        <v>59.3</v>
      </c>
      <c r="F152" s="6" t="n">
        <v>143.8</v>
      </c>
    </row>
    <row r="153" customFormat="false" ht="15" hidden="false" customHeight="false" outlineLevel="0" collapsed="false">
      <c r="A153" s="6" t="s">
        <v>115</v>
      </c>
      <c r="B153" s="6" t="s">
        <v>116</v>
      </c>
      <c r="C153" s="6" t="s">
        <v>82</v>
      </c>
      <c r="D153" s="6" t="n">
        <v>49.4</v>
      </c>
      <c r="E153" s="6" t="n">
        <v>101.6</v>
      </c>
      <c r="F153" s="6" t="n">
        <v>192.8</v>
      </c>
    </row>
    <row r="154" customFormat="false" ht="15" hidden="false" customHeight="false" outlineLevel="0" collapsed="false">
      <c r="A154" s="6" t="s">
        <v>115</v>
      </c>
      <c r="B154" s="6" t="s">
        <v>116</v>
      </c>
      <c r="C154" s="6" t="s">
        <v>83</v>
      </c>
      <c r="D154" s="6" t="n">
        <v>24.4</v>
      </c>
      <c r="E154" s="6" t="n">
        <v>106.4</v>
      </c>
      <c r="F154" s="6" t="n">
        <v>168.3</v>
      </c>
    </row>
    <row r="155" customFormat="false" ht="15" hidden="false" customHeight="false" outlineLevel="0" collapsed="false">
      <c r="A155" s="6" t="s">
        <v>115</v>
      </c>
      <c r="B155" s="6" t="s">
        <v>116</v>
      </c>
      <c r="C155" s="6" t="s">
        <v>84</v>
      </c>
      <c r="D155" s="6" t="n">
        <v>11.6</v>
      </c>
      <c r="E155" s="6" t="n">
        <v>85.4</v>
      </c>
      <c r="F155" s="6" t="n">
        <v>154.7</v>
      </c>
    </row>
    <row r="156" customFormat="false" ht="15" hidden="false" customHeight="false" outlineLevel="0" collapsed="false">
      <c r="A156" s="6" t="s">
        <v>115</v>
      </c>
      <c r="B156" s="6" t="s">
        <v>116</v>
      </c>
      <c r="C156" s="6" t="s">
        <v>85</v>
      </c>
      <c r="D156" s="6" t="n">
        <v>28</v>
      </c>
      <c r="E156" s="6" t="n">
        <v>64</v>
      </c>
      <c r="F156" s="6" t="n">
        <v>172.7</v>
      </c>
    </row>
    <row r="157" customFormat="false" ht="15" hidden="false" customHeight="false" outlineLevel="0" collapsed="false">
      <c r="A157" s="6" t="s">
        <v>115</v>
      </c>
      <c r="B157" s="6" t="s">
        <v>116</v>
      </c>
      <c r="C157" s="6" t="s">
        <v>86</v>
      </c>
      <c r="D157" s="6" t="n">
        <v>23.5</v>
      </c>
      <c r="E157" s="6" t="n">
        <v>63.1</v>
      </c>
      <c r="F157" s="6" t="n">
        <v>189.1</v>
      </c>
    </row>
    <row r="158" customFormat="false" ht="15" hidden="false" customHeight="false" outlineLevel="0" collapsed="false">
      <c r="A158" s="6" t="s">
        <v>115</v>
      </c>
      <c r="B158" s="6" t="s">
        <v>116</v>
      </c>
      <c r="C158" s="6" t="s">
        <v>87</v>
      </c>
      <c r="D158" s="6" t="n">
        <v>11.6</v>
      </c>
      <c r="E158" s="6" t="n">
        <v>63.1</v>
      </c>
      <c r="F158" s="6" t="n">
        <v>181.1</v>
      </c>
    </row>
    <row r="159" customFormat="false" ht="15" hidden="false" customHeight="false" outlineLevel="0" collapsed="false">
      <c r="A159" s="6" t="s">
        <v>115</v>
      </c>
      <c r="B159" s="6" t="s">
        <v>116</v>
      </c>
      <c r="C159" s="6" t="s">
        <v>88</v>
      </c>
      <c r="D159" s="6" t="n">
        <v>22.8</v>
      </c>
      <c r="E159" s="6" t="n">
        <v>57.9</v>
      </c>
      <c r="F159" s="6" t="n">
        <v>171.3</v>
      </c>
    </row>
    <row r="160" customFormat="false" ht="15" hidden="false" customHeight="false" outlineLevel="0" collapsed="false">
      <c r="A160" s="6" t="s">
        <v>115</v>
      </c>
      <c r="B160" s="6" t="s">
        <v>116</v>
      </c>
      <c r="C160" s="6" t="s">
        <v>89</v>
      </c>
      <c r="D160" s="6" t="n">
        <v>97.2</v>
      </c>
      <c r="E160" s="6" t="n">
        <v>131.6</v>
      </c>
      <c r="F160" s="6" t="n">
        <v>219.1</v>
      </c>
    </row>
    <row r="161" customFormat="false" ht="15" hidden="false" customHeight="false" outlineLevel="0" collapsed="false">
      <c r="A161" s="6" t="s">
        <v>115</v>
      </c>
      <c r="B161" s="6" t="s">
        <v>116</v>
      </c>
      <c r="C161" s="6" t="s">
        <v>90</v>
      </c>
      <c r="D161" s="6" t="n">
        <v>9.9</v>
      </c>
      <c r="E161" s="6" t="n">
        <v>129.9</v>
      </c>
      <c r="F161" s="6" t="n">
        <v>204.6</v>
      </c>
    </row>
    <row r="162" customFormat="false" ht="15" hidden="false" customHeight="false" outlineLevel="0" collapsed="false">
      <c r="A162" s="6" t="s">
        <v>115</v>
      </c>
      <c r="B162" s="6" t="s">
        <v>116</v>
      </c>
      <c r="C162" s="6" t="s">
        <v>91</v>
      </c>
      <c r="D162" s="6" t="n">
        <v>5.6</v>
      </c>
      <c r="E162" s="6" t="n">
        <v>112.7</v>
      </c>
      <c r="F162" s="6" t="n">
        <v>198.6</v>
      </c>
    </row>
    <row r="163" customFormat="false" ht="15" hidden="false" customHeight="false" outlineLevel="0" collapsed="false">
      <c r="A163" s="6" t="s">
        <v>115</v>
      </c>
      <c r="B163" s="6" t="s">
        <v>116</v>
      </c>
      <c r="C163" s="6" t="s">
        <v>92</v>
      </c>
      <c r="D163" s="6" t="n">
        <v>20.6</v>
      </c>
      <c r="E163" s="6" t="n">
        <v>36.1</v>
      </c>
      <c r="F163" s="6" t="n">
        <v>191.2</v>
      </c>
    </row>
    <row r="164" customFormat="false" ht="15" hidden="false" customHeight="false" outlineLevel="0" collapsed="false">
      <c r="A164" s="6" t="s">
        <v>115</v>
      </c>
      <c r="B164" s="6" t="s">
        <v>116</v>
      </c>
      <c r="C164" s="6" t="s">
        <v>93</v>
      </c>
      <c r="D164" s="6" t="n">
        <v>2.5</v>
      </c>
      <c r="E164" s="6" t="n">
        <v>28.7</v>
      </c>
      <c r="F164" s="6" t="n">
        <v>170.2</v>
      </c>
    </row>
    <row r="165" customFormat="false" ht="15" hidden="false" customHeight="false" outlineLevel="0" collapsed="false">
      <c r="A165" s="6" t="s">
        <v>115</v>
      </c>
      <c r="B165" s="6" t="s">
        <v>116</v>
      </c>
      <c r="C165" s="6" t="s">
        <v>94</v>
      </c>
      <c r="D165" s="6" t="n">
        <v>1.7</v>
      </c>
      <c r="E165" s="6" t="n">
        <v>24.8</v>
      </c>
      <c r="F165" s="6" t="n">
        <v>160.3</v>
      </c>
    </row>
    <row r="166" customFormat="false" ht="15" hidden="false" customHeight="false" outlineLevel="0" collapsed="false">
      <c r="A166" s="6" t="s">
        <v>115</v>
      </c>
      <c r="B166" s="6" t="s">
        <v>116</v>
      </c>
      <c r="C166" s="6" t="s">
        <v>95</v>
      </c>
      <c r="D166" s="6" t="n">
        <v>15</v>
      </c>
      <c r="E166" s="6" t="n">
        <v>19.2</v>
      </c>
      <c r="F166" s="6" t="n">
        <v>152.5</v>
      </c>
    </row>
    <row r="167" customFormat="false" ht="15" hidden="false" customHeight="false" outlineLevel="0" collapsed="false">
      <c r="A167" s="6" t="s">
        <v>115</v>
      </c>
      <c r="B167" s="6" t="s">
        <v>116</v>
      </c>
      <c r="C167" s="6" t="s">
        <v>96</v>
      </c>
      <c r="D167" s="6" t="n">
        <v>20.1</v>
      </c>
      <c r="E167" s="6" t="n">
        <v>36.8</v>
      </c>
      <c r="F167" s="6" t="n">
        <v>75.4</v>
      </c>
    </row>
    <row r="168" customFormat="false" ht="15" hidden="false" customHeight="false" outlineLevel="0" collapsed="false">
      <c r="A168" s="6" t="s">
        <v>115</v>
      </c>
      <c r="B168" s="6" t="s">
        <v>116</v>
      </c>
      <c r="C168" s="6" t="s">
        <v>97</v>
      </c>
      <c r="D168" s="6" t="n">
        <v>14.9</v>
      </c>
      <c r="E168" s="6" t="n">
        <v>50</v>
      </c>
      <c r="F168" s="6" t="n">
        <v>80.4</v>
      </c>
    </row>
    <row r="169" customFormat="false" ht="15" hidden="false" customHeight="false" outlineLevel="0" collapsed="false">
      <c r="A169" s="6" t="s">
        <v>115</v>
      </c>
      <c r="B169" s="6" t="s">
        <v>116</v>
      </c>
      <c r="C169" s="6" t="s">
        <v>98</v>
      </c>
      <c r="D169" s="6" t="n">
        <v>16.6</v>
      </c>
      <c r="E169" s="6" t="n">
        <v>51.6</v>
      </c>
      <c r="F169" s="6" t="n">
        <v>91.4</v>
      </c>
    </row>
    <row r="170" customFormat="false" ht="15" hidden="false" customHeight="false" outlineLevel="0" collapsed="false">
      <c r="A170" s="6" t="s">
        <v>115</v>
      </c>
      <c r="B170" s="6" t="s">
        <v>116</v>
      </c>
      <c r="C170" s="6" t="s">
        <v>99</v>
      </c>
      <c r="D170" s="6" t="n">
        <v>19.7</v>
      </c>
      <c r="E170" s="6" t="n">
        <v>51.2</v>
      </c>
      <c r="F170" s="6" t="n">
        <v>90.5</v>
      </c>
    </row>
    <row r="171" customFormat="false" ht="15" hidden="false" customHeight="false" outlineLevel="0" collapsed="false">
      <c r="A171" s="6" t="s">
        <v>115</v>
      </c>
      <c r="B171" s="6" t="s">
        <v>116</v>
      </c>
      <c r="C171" s="6" t="s">
        <v>100</v>
      </c>
      <c r="D171" s="6" t="n">
        <v>40.9</v>
      </c>
      <c r="E171" s="6" t="n">
        <v>77.2</v>
      </c>
      <c r="F171" s="6" t="n">
        <v>128.9</v>
      </c>
    </row>
    <row r="172" customFormat="false" ht="15" hidden="false" customHeight="false" outlineLevel="0" collapsed="false">
      <c r="A172" s="6" t="s">
        <v>115</v>
      </c>
      <c r="B172" s="6" t="s">
        <v>116</v>
      </c>
      <c r="C172" s="6" t="s">
        <v>101</v>
      </c>
      <c r="D172" s="6" t="n">
        <v>24.8</v>
      </c>
      <c r="E172" s="6" t="n">
        <v>85.4</v>
      </c>
      <c r="F172" s="6" t="n">
        <v>152</v>
      </c>
    </row>
    <row r="173" customFormat="false" ht="15" hidden="false" customHeight="false" outlineLevel="0" collapsed="false">
      <c r="A173" s="6" t="s">
        <v>115</v>
      </c>
      <c r="B173" s="6" t="s">
        <v>116</v>
      </c>
      <c r="C173" s="6" t="s">
        <v>102</v>
      </c>
      <c r="D173" s="6" t="n">
        <v>24.1</v>
      </c>
      <c r="E173" s="6" t="n">
        <v>89.8</v>
      </c>
      <c r="F173" s="6" t="n">
        <v>161.1</v>
      </c>
    </row>
    <row r="174" customFormat="false" ht="15" hidden="false" customHeight="false" outlineLevel="0" collapsed="false">
      <c r="A174" s="6" t="s">
        <v>115</v>
      </c>
      <c r="B174" s="6" t="s">
        <v>116</v>
      </c>
      <c r="C174" s="6" t="s">
        <v>103</v>
      </c>
      <c r="D174" s="6" t="n">
        <v>13.8</v>
      </c>
      <c r="E174" s="6" t="n">
        <v>62.7</v>
      </c>
      <c r="F174" s="6" t="n">
        <v>154.8</v>
      </c>
    </row>
    <row r="175" customFormat="false" ht="15" hidden="false" customHeight="false" outlineLevel="0" collapsed="false">
      <c r="A175" s="6" t="s">
        <v>115</v>
      </c>
      <c r="B175" s="6" t="s">
        <v>116</v>
      </c>
      <c r="C175" s="6" t="s">
        <v>104</v>
      </c>
      <c r="D175" s="6" t="n">
        <v>14.4</v>
      </c>
      <c r="E175" s="6" t="n">
        <v>52.3</v>
      </c>
      <c r="F175" s="6" t="n">
        <v>154.3</v>
      </c>
    </row>
    <row r="176" customFormat="false" ht="15" hidden="false" customHeight="false" outlineLevel="0" collapsed="false">
      <c r="A176" s="6" t="s">
        <v>115</v>
      </c>
      <c r="B176" s="6" t="s">
        <v>116</v>
      </c>
      <c r="C176" s="6" t="s">
        <v>105</v>
      </c>
      <c r="D176" s="6" t="n">
        <v>9</v>
      </c>
      <c r="E176" s="6" t="n">
        <v>37.2</v>
      </c>
      <c r="F176" s="6" t="n">
        <v>146.7</v>
      </c>
    </row>
    <row r="177" customFormat="false" ht="15" hidden="false" customHeight="false" outlineLevel="0" collapsed="false">
      <c r="A177" s="6" t="s">
        <v>115</v>
      </c>
      <c r="B177" s="6" t="s">
        <v>116</v>
      </c>
      <c r="C177" s="6" t="s">
        <v>106</v>
      </c>
      <c r="D177" s="6" t="n">
        <v>16.2</v>
      </c>
      <c r="E177" s="6" t="n">
        <v>39.6</v>
      </c>
      <c r="F177" s="6" t="n">
        <v>143.2</v>
      </c>
    </row>
    <row r="178" customFormat="false" ht="15" hidden="false" customHeight="false" outlineLevel="0" collapsed="false">
      <c r="A178" s="6" t="s">
        <v>115</v>
      </c>
      <c r="B178" s="6" t="s">
        <v>116</v>
      </c>
      <c r="C178" s="6" t="s">
        <v>107</v>
      </c>
      <c r="D178" s="6" t="n">
        <v>2.3</v>
      </c>
      <c r="E178" s="6" t="n">
        <v>27.5</v>
      </c>
      <c r="F178" s="6" t="n">
        <v>104.6</v>
      </c>
    </row>
    <row r="179" customFormat="false" ht="15" hidden="false" customHeight="false" outlineLevel="0" collapsed="false">
      <c r="A179" s="6" t="s">
        <v>115</v>
      </c>
      <c r="B179" s="6" t="s">
        <v>116</v>
      </c>
      <c r="C179" s="6" t="s">
        <v>108</v>
      </c>
      <c r="D179" s="6" t="n">
        <v>41.1</v>
      </c>
      <c r="E179" s="6" t="n">
        <v>59.6</v>
      </c>
      <c r="F179" s="6" t="n">
        <v>120.9</v>
      </c>
    </row>
    <row r="180" customFormat="false" ht="15" hidden="false" customHeight="false" outlineLevel="0" collapsed="false">
      <c r="A180" s="6" t="s">
        <v>115</v>
      </c>
      <c r="B180" s="6" t="s">
        <v>116</v>
      </c>
      <c r="C180" s="6" t="s">
        <v>109</v>
      </c>
      <c r="D180" s="6" t="n">
        <v>3.5</v>
      </c>
      <c r="E180" s="6" t="n">
        <v>46.9</v>
      </c>
      <c r="F180" s="6" t="n">
        <v>100.3</v>
      </c>
    </row>
    <row r="181" customFormat="false" ht="15" hidden="false" customHeight="false" outlineLevel="0" collapsed="false">
      <c r="A181" s="6" t="s">
        <v>115</v>
      </c>
      <c r="B181" s="6" t="s">
        <v>116</v>
      </c>
      <c r="C181" s="6" t="s">
        <v>110</v>
      </c>
      <c r="D181" s="6" t="n">
        <v>24.8</v>
      </c>
      <c r="E181" s="6" t="n">
        <v>69.4</v>
      </c>
      <c r="F181" s="6" t="n">
        <v>111.3</v>
      </c>
    </row>
    <row r="182" customFormat="false" ht="15" hidden="false" customHeight="false" outlineLevel="0" collapsed="false">
      <c r="A182" s="6" t="s">
        <v>115</v>
      </c>
      <c r="B182" s="6" t="s">
        <v>116</v>
      </c>
      <c r="C182" s="6" t="s">
        <v>111</v>
      </c>
      <c r="D182" s="6" t="n">
        <v>36.7</v>
      </c>
      <c r="E182" s="6" t="n">
        <v>65</v>
      </c>
      <c r="F182" s="6" t="n">
        <v>133.6</v>
      </c>
    </row>
    <row r="183" customFormat="false" ht="15" hidden="false" customHeight="false" outlineLevel="0" collapsed="false">
      <c r="A183" s="6" t="s">
        <v>115</v>
      </c>
      <c r="B183" s="6" t="s">
        <v>116</v>
      </c>
      <c r="C183" s="6" t="s">
        <v>112</v>
      </c>
      <c r="D183" s="6" t="n">
        <v>24.7</v>
      </c>
      <c r="E183" s="6" t="n">
        <v>86.2</v>
      </c>
      <c r="F183" s="6" t="n">
        <v>149.3</v>
      </c>
    </row>
    <row r="184" customFormat="false" ht="15" hidden="false" customHeight="false" outlineLevel="0" collapsed="false">
      <c r="A184" s="6" t="s">
        <v>115</v>
      </c>
      <c r="B184" s="6" t="s">
        <v>116</v>
      </c>
      <c r="C184" s="6" t="s">
        <v>113</v>
      </c>
      <c r="D184" s="6" t="n">
        <v>72</v>
      </c>
      <c r="E184" s="6" t="n">
        <v>133.4</v>
      </c>
      <c r="F184" s="6" t="n">
        <v>205.1</v>
      </c>
    </row>
    <row r="185" customFormat="false" ht="15" hidden="false" customHeight="false" outlineLevel="0" collapsed="false">
      <c r="A185" s="6" t="s">
        <v>115</v>
      </c>
      <c r="B185" s="6" t="s">
        <v>116</v>
      </c>
      <c r="C185" s="6" t="s">
        <v>114</v>
      </c>
      <c r="D185" s="6" t="n">
        <v>6</v>
      </c>
      <c r="E185" s="6" t="n">
        <v>102.7</v>
      </c>
      <c r="F185" s="6" t="n">
        <v>208.8</v>
      </c>
    </row>
    <row r="186" customFormat="false" ht="15" hidden="false" customHeight="false" outlineLevel="0" collapsed="false">
      <c r="A186" s="6" t="s">
        <v>117</v>
      </c>
      <c r="B186" s="6" t="s">
        <v>118</v>
      </c>
      <c r="C186" s="6" t="s">
        <v>23</v>
      </c>
      <c r="D186" s="6" t="n">
        <v>21.8</v>
      </c>
      <c r="E186" s="6" t="n">
        <v>21.8</v>
      </c>
      <c r="F186" s="6" t="n">
        <v>21.8</v>
      </c>
    </row>
    <row r="187" customFormat="false" ht="15" hidden="false" customHeight="false" outlineLevel="0" collapsed="false">
      <c r="A187" s="6" t="s">
        <v>117</v>
      </c>
      <c r="B187" s="6" t="s">
        <v>118</v>
      </c>
      <c r="C187" s="6" t="s">
        <v>24</v>
      </c>
      <c r="D187" s="6" t="n">
        <v>7.1</v>
      </c>
      <c r="E187" s="6" t="n">
        <v>28.9</v>
      </c>
      <c r="F187" s="6" t="n">
        <v>28.9</v>
      </c>
    </row>
    <row r="188" customFormat="false" ht="15" hidden="false" customHeight="false" outlineLevel="0" collapsed="false">
      <c r="A188" s="6" t="s">
        <v>117</v>
      </c>
      <c r="B188" s="6" t="s">
        <v>118</v>
      </c>
      <c r="C188" s="6" t="s">
        <v>25</v>
      </c>
      <c r="D188" s="6" t="n">
        <v>11.6</v>
      </c>
      <c r="E188" s="6" t="n">
        <v>40.5</v>
      </c>
      <c r="F188" s="6" t="n">
        <v>40.5</v>
      </c>
    </row>
    <row r="189" customFormat="false" ht="15" hidden="false" customHeight="false" outlineLevel="0" collapsed="false">
      <c r="A189" s="6" t="s">
        <v>117</v>
      </c>
      <c r="B189" s="6" t="s">
        <v>118</v>
      </c>
      <c r="C189" s="6" t="s">
        <v>26</v>
      </c>
      <c r="D189" s="6" t="n">
        <v>38.3</v>
      </c>
      <c r="E189" s="6" t="n">
        <v>57</v>
      </c>
      <c r="F189" s="6" t="n">
        <v>78.8</v>
      </c>
    </row>
    <row r="190" customFormat="false" ht="15" hidden="false" customHeight="false" outlineLevel="0" collapsed="false">
      <c r="A190" s="6" t="s">
        <v>117</v>
      </c>
      <c r="B190" s="6" t="s">
        <v>118</v>
      </c>
      <c r="C190" s="6" t="s">
        <v>27</v>
      </c>
      <c r="D190" s="6" t="n">
        <v>0.5</v>
      </c>
      <c r="E190" s="6" t="n">
        <v>50.4</v>
      </c>
      <c r="F190" s="6" t="n">
        <v>79.3</v>
      </c>
    </row>
    <row r="191" customFormat="false" ht="15" hidden="false" customHeight="false" outlineLevel="0" collapsed="false">
      <c r="A191" s="6" t="s">
        <v>117</v>
      </c>
      <c r="B191" s="6" t="s">
        <v>118</v>
      </c>
      <c r="C191" s="6" t="s">
        <v>28</v>
      </c>
      <c r="D191" s="6" t="n">
        <v>48</v>
      </c>
      <c r="E191" s="6" t="n">
        <v>86.8</v>
      </c>
      <c r="F191" s="6" t="n">
        <v>127.3</v>
      </c>
    </row>
    <row r="192" customFormat="false" ht="15" hidden="false" customHeight="false" outlineLevel="0" collapsed="false">
      <c r="A192" s="6" t="s">
        <v>117</v>
      </c>
      <c r="B192" s="6" t="s">
        <v>118</v>
      </c>
      <c r="C192" s="6" t="s">
        <v>29</v>
      </c>
      <c r="D192" s="6" t="n">
        <v>0.6</v>
      </c>
      <c r="E192" s="6" t="n">
        <v>49.1</v>
      </c>
      <c r="F192" s="6" t="n">
        <v>127.9</v>
      </c>
    </row>
    <row r="193" customFormat="false" ht="15" hidden="false" customHeight="false" outlineLevel="0" collapsed="false">
      <c r="A193" s="6" t="s">
        <v>117</v>
      </c>
      <c r="B193" s="6" t="s">
        <v>118</v>
      </c>
      <c r="C193" s="6" t="s">
        <v>30</v>
      </c>
      <c r="D193" s="6" t="n">
        <v>25.9</v>
      </c>
      <c r="E193" s="6" t="n">
        <v>74.5</v>
      </c>
      <c r="F193" s="6" t="n">
        <v>132</v>
      </c>
    </row>
    <row r="194" customFormat="false" ht="15" hidden="false" customHeight="false" outlineLevel="0" collapsed="false">
      <c r="A194" s="6" t="s">
        <v>117</v>
      </c>
      <c r="B194" s="6" t="s">
        <v>118</v>
      </c>
      <c r="C194" s="6" t="s">
        <v>31</v>
      </c>
      <c r="D194" s="6" t="n">
        <v>1.6</v>
      </c>
      <c r="E194" s="6" t="n">
        <v>28.1</v>
      </c>
      <c r="F194" s="6" t="n">
        <v>126.5</v>
      </c>
    </row>
    <row r="195" customFormat="false" ht="15" hidden="false" customHeight="false" outlineLevel="0" collapsed="false">
      <c r="A195" s="6" t="s">
        <v>117</v>
      </c>
      <c r="B195" s="6" t="s">
        <v>118</v>
      </c>
      <c r="C195" s="6" t="s">
        <v>32</v>
      </c>
      <c r="D195" s="6" t="n">
        <v>8.6</v>
      </c>
      <c r="E195" s="6" t="n">
        <v>36.1</v>
      </c>
      <c r="F195" s="6" t="n">
        <v>123.5</v>
      </c>
    </row>
    <row r="196" customFormat="false" ht="15" hidden="false" customHeight="false" outlineLevel="0" collapsed="false">
      <c r="A196" s="6" t="s">
        <v>117</v>
      </c>
      <c r="B196" s="6" t="s">
        <v>118</v>
      </c>
      <c r="C196" s="6" t="s">
        <v>33</v>
      </c>
      <c r="D196" s="6" t="n">
        <v>15.8</v>
      </c>
      <c r="E196" s="6" t="n">
        <v>26</v>
      </c>
      <c r="F196" s="6" t="n">
        <v>101</v>
      </c>
    </row>
    <row r="197" customFormat="false" ht="15" hidden="false" customHeight="false" outlineLevel="0" collapsed="false">
      <c r="A197" s="6" t="s">
        <v>117</v>
      </c>
      <c r="B197" s="6" t="s">
        <v>118</v>
      </c>
      <c r="C197" s="6" t="s">
        <v>34</v>
      </c>
      <c r="D197" s="6" t="n">
        <v>58.7</v>
      </c>
      <c r="E197" s="6" t="n">
        <v>83.1</v>
      </c>
      <c r="F197" s="6" t="n">
        <v>159.2</v>
      </c>
    </row>
    <row r="198" customFormat="false" ht="15" hidden="false" customHeight="false" outlineLevel="0" collapsed="false">
      <c r="A198" s="6" t="s">
        <v>117</v>
      </c>
      <c r="B198" s="6" t="s">
        <v>118</v>
      </c>
      <c r="C198" s="6" t="s">
        <v>35</v>
      </c>
      <c r="D198" s="6" t="n">
        <v>5.8</v>
      </c>
      <c r="E198" s="6" t="n">
        <v>80.3</v>
      </c>
      <c r="F198" s="6" t="n">
        <v>117</v>
      </c>
    </row>
    <row r="199" customFormat="false" ht="15" hidden="false" customHeight="false" outlineLevel="0" collapsed="false">
      <c r="A199" s="6" t="s">
        <v>117</v>
      </c>
      <c r="B199" s="6" t="s">
        <v>118</v>
      </c>
      <c r="C199" s="6" t="s">
        <v>36</v>
      </c>
      <c r="D199" s="6" t="n">
        <v>104.9</v>
      </c>
      <c r="E199" s="6" t="n">
        <v>169.4</v>
      </c>
      <c r="F199" s="6" t="n">
        <v>221.3</v>
      </c>
    </row>
    <row r="200" customFormat="false" ht="15" hidden="false" customHeight="false" outlineLevel="0" collapsed="false">
      <c r="A200" s="6" t="s">
        <v>117</v>
      </c>
      <c r="B200" s="6" t="s">
        <v>118</v>
      </c>
      <c r="C200" s="6" t="s">
        <v>37</v>
      </c>
      <c r="D200" s="6" t="n">
        <v>58.8</v>
      </c>
      <c r="E200" s="6" t="n">
        <v>169.5</v>
      </c>
      <c r="F200" s="6" t="n">
        <v>254.2</v>
      </c>
    </row>
    <row r="201" customFormat="false" ht="15" hidden="false" customHeight="false" outlineLevel="0" collapsed="false">
      <c r="A201" s="6" t="s">
        <v>117</v>
      </c>
      <c r="B201" s="6" t="s">
        <v>118</v>
      </c>
      <c r="C201" s="6" t="s">
        <v>38</v>
      </c>
      <c r="D201" s="6" t="n">
        <v>2.1</v>
      </c>
      <c r="E201" s="6" t="n">
        <v>165.8</v>
      </c>
      <c r="F201" s="6" t="n">
        <v>254.7</v>
      </c>
    </row>
    <row r="202" customFormat="false" ht="15" hidden="false" customHeight="false" outlineLevel="0" collapsed="false">
      <c r="A202" s="6" t="s">
        <v>117</v>
      </c>
      <c r="B202" s="6" t="s">
        <v>118</v>
      </c>
      <c r="C202" s="6" t="s">
        <v>39</v>
      </c>
      <c r="D202" s="6" t="n">
        <v>0.2</v>
      </c>
      <c r="E202" s="6" t="n">
        <v>61.1</v>
      </c>
      <c r="F202" s="6" t="n">
        <v>246.3</v>
      </c>
    </row>
    <row r="203" customFormat="false" ht="15" hidden="false" customHeight="false" outlineLevel="0" collapsed="false">
      <c r="A203" s="6" t="s">
        <v>117</v>
      </c>
      <c r="B203" s="6" t="s">
        <v>118</v>
      </c>
      <c r="C203" s="6" t="s">
        <v>40</v>
      </c>
      <c r="D203" s="6" t="n">
        <v>4.6</v>
      </c>
      <c r="E203" s="6" t="n">
        <v>6.9</v>
      </c>
      <c r="F203" s="6" t="n">
        <v>235.1</v>
      </c>
    </row>
    <row r="204" customFormat="false" ht="15" hidden="false" customHeight="false" outlineLevel="0" collapsed="false">
      <c r="A204" s="6" t="s">
        <v>117</v>
      </c>
      <c r="B204" s="6" t="s">
        <v>118</v>
      </c>
      <c r="C204" s="6" t="s">
        <v>41</v>
      </c>
      <c r="D204" s="6" t="n">
        <v>26.3</v>
      </c>
      <c r="E204" s="6" t="n">
        <v>31.1</v>
      </c>
      <c r="F204" s="6" t="n">
        <v>202.7</v>
      </c>
    </row>
    <row r="205" customFormat="false" ht="15" hidden="false" customHeight="false" outlineLevel="0" collapsed="false">
      <c r="A205" s="6" t="s">
        <v>117</v>
      </c>
      <c r="B205" s="6" t="s">
        <v>118</v>
      </c>
      <c r="C205" s="6" t="s">
        <v>42</v>
      </c>
      <c r="D205" s="6" t="n">
        <v>166.6</v>
      </c>
      <c r="E205" s="6" t="n">
        <v>197.5</v>
      </c>
      <c r="F205" s="6" t="n">
        <v>363.5</v>
      </c>
    </row>
    <row r="206" customFormat="false" ht="15" hidden="false" customHeight="false" outlineLevel="0" collapsed="false">
      <c r="A206" s="6" t="s">
        <v>117</v>
      </c>
      <c r="B206" s="6" t="s">
        <v>118</v>
      </c>
      <c r="C206" s="6" t="s">
        <v>43</v>
      </c>
      <c r="D206" s="6" t="n">
        <v>9.6</v>
      </c>
      <c r="E206" s="6" t="n">
        <v>202.5</v>
      </c>
      <c r="F206" s="6" t="n">
        <v>268.2</v>
      </c>
    </row>
    <row r="207" customFormat="false" ht="15" hidden="false" customHeight="false" outlineLevel="0" collapsed="false">
      <c r="A207" s="6" t="s">
        <v>117</v>
      </c>
      <c r="B207" s="6" t="s">
        <v>118</v>
      </c>
      <c r="C207" s="6" t="s">
        <v>44</v>
      </c>
      <c r="D207" s="6" t="n">
        <v>37.7</v>
      </c>
      <c r="E207" s="6" t="n">
        <v>213.9</v>
      </c>
      <c r="F207" s="6" t="n">
        <v>247.1</v>
      </c>
    </row>
    <row r="208" customFormat="false" ht="15" hidden="false" customHeight="false" outlineLevel="0" collapsed="false">
      <c r="A208" s="6" t="s">
        <v>117</v>
      </c>
      <c r="B208" s="6" t="s">
        <v>118</v>
      </c>
      <c r="C208" s="6" t="s">
        <v>45</v>
      </c>
      <c r="D208" s="6" t="n">
        <v>2.3</v>
      </c>
      <c r="E208" s="6" t="n">
        <v>49.6</v>
      </c>
      <c r="F208" s="6" t="n">
        <v>247.3</v>
      </c>
    </row>
    <row r="209" customFormat="false" ht="15" hidden="false" customHeight="false" outlineLevel="0" collapsed="false">
      <c r="A209" s="6" t="s">
        <v>117</v>
      </c>
      <c r="B209" s="6" t="s">
        <v>118</v>
      </c>
      <c r="C209" s="6" t="s">
        <v>46</v>
      </c>
      <c r="D209" s="6" t="n">
        <v>42.2</v>
      </c>
      <c r="E209" s="6" t="n">
        <v>82.2</v>
      </c>
      <c r="F209" s="6" t="n">
        <v>289.3</v>
      </c>
    </row>
    <row r="210" customFormat="false" ht="15" hidden="false" customHeight="false" outlineLevel="0" collapsed="false">
      <c r="A210" s="6" t="s">
        <v>117</v>
      </c>
      <c r="B210" s="6" t="s">
        <v>118</v>
      </c>
      <c r="C210" s="6" t="s">
        <v>47</v>
      </c>
      <c r="D210" s="6" t="n">
        <v>53.7</v>
      </c>
      <c r="E210" s="6" t="n">
        <v>98.2</v>
      </c>
      <c r="F210" s="6" t="n">
        <v>338.4</v>
      </c>
    </row>
    <row r="211" customFormat="false" ht="15" hidden="false" customHeight="false" outlineLevel="0" collapsed="false">
      <c r="A211" s="6" t="s">
        <v>117</v>
      </c>
      <c r="B211" s="6" t="s">
        <v>118</v>
      </c>
      <c r="C211" s="6" t="s">
        <v>48</v>
      </c>
      <c r="D211" s="6" t="n">
        <v>59.9</v>
      </c>
      <c r="E211" s="6" t="n">
        <v>155.8</v>
      </c>
      <c r="F211" s="6" t="n">
        <v>372</v>
      </c>
    </row>
    <row r="212" customFormat="false" ht="15" hidden="false" customHeight="false" outlineLevel="0" collapsed="false">
      <c r="A212" s="6" t="s">
        <v>117</v>
      </c>
      <c r="B212" s="6" t="s">
        <v>118</v>
      </c>
      <c r="C212" s="6" t="s">
        <v>49</v>
      </c>
      <c r="D212" s="6" t="n">
        <v>60.8</v>
      </c>
      <c r="E212" s="6" t="n">
        <v>174.4</v>
      </c>
      <c r="F212" s="6" t="n">
        <v>266.2</v>
      </c>
    </row>
    <row r="213" customFormat="false" ht="15" hidden="false" customHeight="false" outlineLevel="0" collapsed="false">
      <c r="A213" s="6" t="s">
        <v>117</v>
      </c>
      <c r="B213" s="6" t="s">
        <v>118</v>
      </c>
      <c r="C213" s="6" t="s">
        <v>50</v>
      </c>
      <c r="D213" s="6" t="n">
        <v>44.4</v>
      </c>
      <c r="E213" s="6" t="n">
        <v>165.1</v>
      </c>
      <c r="F213" s="6" t="n">
        <v>301</v>
      </c>
    </row>
    <row r="214" customFormat="false" ht="15" hidden="false" customHeight="false" outlineLevel="0" collapsed="false">
      <c r="A214" s="6" t="s">
        <v>117</v>
      </c>
      <c r="B214" s="6" t="s">
        <v>118</v>
      </c>
      <c r="C214" s="6" t="s">
        <v>51</v>
      </c>
      <c r="D214" s="6" t="n">
        <v>2.3</v>
      </c>
      <c r="E214" s="6" t="n">
        <v>107.5</v>
      </c>
      <c r="F214" s="6" t="n">
        <v>265.6</v>
      </c>
    </row>
    <row r="215" customFormat="false" ht="15" hidden="false" customHeight="false" outlineLevel="0" collapsed="false">
      <c r="A215" s="6" t="s">
        <v>117</v>
      </c>
      <c r="B215" s="6" t="s">
        <v>118</v>
      </c>
      <c r="C215" s="6" t="s">
        <v>52</v>
      </c>
      <c r="D215" s="6" t="n">
        <v>22.3</v>
      </c>
      <c r="E215" s="6" t="n">
        <v>69</v>
      </c>
      <c r="F215" s="6" t="n">
        <v>285.6</v>
      </c>
    </row>
    <row r="216" customFormat="false" ht="15" hidden="false" customHeight="false" outlineLevel="0" collapsed="false">
      <c r="A216" s="6" t="s">
        <v>117</v>
      </c>
      <c r="B216" s="6" t="s">
        <v>118</v>
      </c>
      <c r="C216" s="6" t="s">
        <v>53</v>
      </c>
      <c r="D216" s="6" t="n">
        <v>11.8</v>
      </c>
      <c r="E216" s="6" t="n">
        <v>36.4</v>
      </c>
      <c r="F216" s="6" t="n">
        <v>255.2</v>
      </c>
    </row>
    <row r="217" customFormat="false" ht="15" hidden="false" customHeight="false" outlineLevel="0" collapsed="false">
      <c r="A217" s="6" t="s">
        <v>117</v>
      </c>
      <c r="B217" s="6" t="s">
        <v>118</v>
      </c>
      <c r="C217" s="6" t="s">
        <v>54</v>
      </c>
      <c r="D217" s="6" t="n">
        <v>12.6</v>
      </c>
      <c r="E217" s="6" t="n">
        <v>46.7</v>
      </c>
      <c r="F217" s="6" t="n">
        <v>214.1</v>
      </c>
    </row>
    <row r="218" customFormat="false" ht="15" hidden="false" customHeight="false" outlineLevel="0" collapsed="false">
      <c r="A218" s="6" t="s">
        <v>117</v>
      </c>
      <c r="B218" s="6" t="s">
        <v>118</v>
      </c>
      <c r="C218" s="6" t="s">
        <v>55</v>
      </c>
      <c r="D218" s="6" t="n">
        <v>211.5</v>
      </c>
      <c r="E218" s="6" t="n">
        <v>235.9</v>
      </c>
      <c r="F218" s="6" t="n">
        <v>365.7</v>
      </c>
    </row>
    <row r="219" customFormat="false" ht="15" hidden="false" customHeight="false" outlineLevel="0" collapsed="false">
      <c r="A219" s="6" t="s">
        <v>117</v>
      </c>
      <c r="B219" s="6" t="s">
        <v>118</v>
      </c>
      <c r="C219" s="6" t="s">
        <v>56</v>
      </c>
      <c r="D219" s="6" t="n">
        <v>58.2</v>
      </c>
      <c r="E219" s="6" t="n">
        <v>282.3</v>
      </c>
      <c r="F219" s="6" t="n">
        <v>363.1</v>
      </c>
    </row>
    <row r="220" customFormat="false" ht="15" hidden="false" customHeight="false" outlineLevel="0" collapsed="false">
      <c r="A220" s="6" t="s">
        <v>117</v>
      </c>
      <c r="B220" s="6" t="s">
        <v>118</v>
      </c>
      <c r="C220" s="6" t="s">
        <v>57</v>
      </c>
      <c r="D220" s="6" t="n">
        <v>31.6</v>
      </c>
      <c r="E220" s="6" t="n">
        <v>301.3</v>
      </c>
      <c r="F220" s="6" t="n">
        <v>350.3</v>
      </c>
    </row>
    <row r="221" customFormat="false" ht="15" hidden="false" customHeight="false" outlineLevel="0" collapsed="false">
      <c r="A221" s="6" t="s">
        <v>117</v>
      </c>
      <c r="B221" s="6" t="s">
        <v>118</v>
      </c>
      <c r="C221" s="6" t="s">
        <v>58</v>
      </c>
      <c r="D221" s="6" t="n">
        <v>6.8</v>
      </c>
      <c r="E221" s="6" t="n">
        <v>96.6</v>
      </c>
      <c r="F221" s="6" t="n">
        <v>354.8</v>
      </c>
    </row>
    <row r="222" customFormat="false" ht="15" hidden="false" customHeight="false" outlineLevel="0" collapsed="false">
      <c r="A222" s="6" t="s">
        <v>117</v>
      </c>
      <c r="B222" s="6" t="s">
        <v>118</v>
      </c>
      <c r="C222" s="6" t="s">
        <v>59</v>
      </c>
      <c r="D222" s="6" t="n">
        <v>29.8</v>
      </c>
      <c r="E222" s="6" t="n">
        <v>68.2</v>
      </c>
      <c r="F222" s="6" t="n">
        <v>362.3</v>
      </c>
    </row>
    <row r="223" customFormat="false" ht="15" hidden="false" customHeight="false" outlineLevel="0" collapsed="false">
      <c r="A223" s="6" t="s">
        <v>117</v>
      </c>
      <c r="B223" s="6" t="s">
        <v>118</v>
      </c>
      <c r="C223" s="6" t="s">
        <v>60</v>
      </c>
      <c r="D223" s="6" t="n">
        <v>7.8</v>
      </c>
      <c r="E223" s="6" t="n">
        <v>44.4</v>
      </c>
      <c r="F223" s="6" t="n">
        <v>358.3</v>
      </c>
    </row>
    <row r="224" customFormat="false" ht="15" hidden="false" customHeight="false" outlineLevel="0" collapsed="false">
      <c r="A224" s="6" t="s">
        <v>117</v>
      </c>
      <c r="B224" s="6" t="s">
        <v>118</v>
      </c>
      <c r="C224" s="6" t="s">
        <v>61</v>
      </c>
      <c r="D224" s="6" t="n">
        <v>40.1</v>
      </c>
      <c r="E224" s="6" t="n">
        <v>77.7</v>
      </c>
      <c r="F224" s="6" t="n">
        <v>385.8</v>
      </c>
    </row>
    <row r="225" customFormat="false" ht="15" hidden="false" customHeight="false" outlineLevel="0" collapsed="false">
      <c r="A225" s="6" t="s">
        <v>117</v>
      </c>
      <c r="B225" s="6" t="s">
        <v>118</v>
      </c>
      <c r="C225" s="6" t="s">
        <v>62</v>
      </c>
      <c r="D225" s="6" t="n">
        <v>5.2</v>
      </c>
      <c r="E225" s="6" t="n">
        <v>53.1</v>
      </c>
      <c r="F225" s="6" t="n">
        <v>179.5</v>
      </c>
    </row>
    <row r="226" customFormat="false" ht="15" hidden="false" customHeight="false" outlineLevel="0" collapsed="false">
      <c r="A226" s="6" t="s">
        <v>117</v>
      </c>
      <c r="B226" s="6" t="s">
        <v>118</v>
      </c>
      <c r="C226" s="6" t="s">
        <v>63</v>
      </c>
      <c r="D226" s="6" t="n">
        <v>32</v>
      </c>
      <c r="E226" s="6" t="n">
        <v>77.3</v>
      </c>
      <c r="F226" s="6" t="n">
        <v>153.3</v>
      </c>
    </row>
    <row r="227" customFormat="false" ht="15" hidden="false" customHeight="false" outlineLevel="0" collapsed="false">
      <c r="A227" s="6" t="s">
        <v>117</v>
      </c>
      <c r="B227" s="6" t="s">
        <v>118</v>
      </c>
      <c r="C227" s="6" t="s">
        <v>64</v>
      </c>
      <c r="D227" s="6" t="n">
        <v>12.8</v>
      </c>
      <c r="E227" s="6" t="n">
        <v>50</v>
      </c>
      <c r="F227" s="6" t="n">
        <v>134.5</v>
      </c>
    </row>
    <row r="228" customFormat="false" ht="15" hidden="false" customHeight="false" outlineLevel="0" collapsed="false">
      <c r="A228" s="6" t="s">
        <v>117</v>
      </c>
      <c r="B228" s="6" t="s">
        <v>118</v>
      </c>
      <c r="C228" s="6" t="s">
        <v>65</v>
      </c>
      <c r="D228" s="6" t="n">
        <v>2.6</v>
      </c>
      <c r="E228" s="6" t="n">
        <v>47.4</v>
      </c>
      <c r="F228" s="6" t="n">
        <v>130.3</v>
      </c>
    </row>
    <row r="229" customFormat="false" ht="15" hidden="false" customHeight="false" outlineLevel="0" collapsed="false">
      <c r="A229" s="6" t="s">
        <v>117</v>
      </c>
      <c r="B229" s="6" t="s">
        <v>118</v>
      </c>
      <c r="C229" s="6" t="s">
        <v>66</v>
      </c>
      <c r="D229" s="6" t="n">
        <v>37.3</v>
      </c>
      <c r="E229" s="6" t="n">
        <v>52.7</v>
      </c>
      <c r="F229" s="6" t="n">
        <v>137.8</v>
      </c>
    </row>
    <row r="230" customFormat="false" ht="15" hidden="false" customHeight="false" outlineLevel="0" collapsed="false">
      <c r="A230" s="6" t="s">
        <v>117</v>
      </c>
      <c r="B230" s="6" t="s">
        <v>118</v>
      </c>
      <c r="C230" s="6" t="s">
        <v>67</v>
      </c>
      <c r="D230" s="6" t="n">
        <v>3.4</v>
      </c>
      <c r="E230" s="6" t="n">
        <v>43.3</v>
      </c>
      <c r="F230" s="6" t="n">
        <v>133.4</v>
      </c>
    </row>
    <row r="231" customFormat="false" ht="15" hidden="false" customHeight="false" outlineLevel="0" collapsed="false">
      <c r="A231" s="6" t="s">
        <v>117</v>
      </c>
      <c r="B231" s="6" t="s">
        <v>118</v>
      </c>
      <c r="C231" s="6" t="s">
        <v>68</v>
      </c>
      <c r="D231" s="6" t="n">
        <v>115.4</v>
      </c>
      <c r="E231" s="6" t="n">
        <v>156.1</v>
      </c>
      <c r="F231" s="6" t="n">
        <v>208.7</v>
      </c>
    </row>
    <row r="232" customFormat="false" ht="15" hidden="false" customHeight="false" outlineLevel="0" collapsed="false">
      <c r="A232" s="6" t="s">
        <v>117</v>
      </c>
      <c r="B232" s="6" t="s">
        <v>118</v>
      </c>
      <c r="C232" s="6" t="s">
        <v>69</v>
      </c>
      <c r="D232" s="6" t="n">
        <v>77.2</v>
      </c>
      <c r="E232" s="6" t="n">
        <v>196</v>
      </c>
      <c r="F232" s="6" t="n">
        <v>280.7</v>
      </c>
    </row>
    <row r="233" customFormat="false" ht="15" hidden="false" customHeight="false" outlineLevel="0" collapsed="false">
      <c r="A233" s="6" t="s">
        <v>117</v>
      </c>
      <c r="B233" s="6" t="s">
        <v>118</v>
      </c>
      <c r="C233" s="6" t="s">
        <v>70</v>
      </c>
      <c r="D233" s="6" t="n">
        <v>39.3</v>
      </c>
      <c r="E233" s="6" t="n">
        <v>231.9</v>
      </c>
      <c r="F233" s="6" t="n">
        <v>288</v>
      </c>
    </row>
    <row r="234" customFormat="false" ht="15" hidden="false" customHeight="false" outlineLevel="0" collapsed="false">
      <c r="A234" s="6" t="s">
        <v>117</v>
      </c>
      <c r="B234" s="6" t="s">
        <v>118</v>
      </c>
      <c r="C234" s="6" t="s">
        <v>71</v>
      </c>
      <c r="D234" s="6" t="n">
        <v>5.4</v>
      </c>
      <c r="E234" s="6" t="n">
        <v>121.9</v>
      </c>
      <c r="F234" s="6" t="n">
        <v>280.6</v>
      </c>
    </row>
    <row r="235" customFormat="false" ht="15" hidden="false" customHeight="false" outlineLevel="0" collapsed="false">
      <c r="A235" s="6" t="s">
        <v>117</v>
      </c>
      <c r="B235" s="6" t="s">
        <v>118</v>
      </c>
      <c r="C235" s="6" t="s">
        <v>72</v>
      </c>
      <c r="D235" s="6" t="n">
        <v>19.7</v>
      </c>
      <c r="E235" s="6" t="n">
        <v>64.4</v>
      </c>
      <c r="F235" s="6" t="n">
        <v>297.7</v>
      </c>
    </row>
    <row r="236" customFormat="false" ht="15" hidden="false" customHeight="false" outlineLevel="0" collapsed="false">
      <c r="A236" s="6" t="s">
        <v>117</v>
      </c>
      <c r="B236" s="6" t="s">
        <v>118</v>
      </c>
      <c r="C236" s="6" t="s">
        <v>73</v>
      </c>
      <c r="D236" s="6" t="n">
        <v>37.6</v>
      </c>
      <c r="E236" s="6" t="n">
        <v>62.7</v>
      </c>
      <c r="F236" s="6" t="n">
        <v>298</v>
      </c>
    </row>
    <row r="237" customFormat="false" ht="15" hidden="false" customHeight="false" outlineLevel="0" collapsed="false">
      <c r="A237" s="6" t="s">
        <v>117</v>
      </c>
      <c r="B237" s="6" t="s">
        <v>118</v>
      </c>
      <c r="C237" s="6" t="s">
        <v>74</v>
      </c>
      <c r="D237" s="6" t="n">
        <v>48</v>
      </c>
      <c r="E237" s="6" t="n">
        <v>105.3</v>
      </c>
      <c r="F237" s="6" t="n">
        <v>342.6</v>
      </c>
    </row>
    <row r="238" customFormat="false" ht="15" hidden="false" customHeight="false" outlineLevel="0" collapsed="false">
      <c r="A238" s="6" t="s">
        <v>117</v>
      </c>
      <c r="B238" s="6" t="s">
        <v>118</v>
      </c>
      <c r="C238" s="6" t="s">
        <v>75</v>
      </c>
      <c r="D238" s="6" t="n">
        <v>23.7</v>
      </c>
      <c r="E238" s="6" t="n">
        <v>109.3</v>
      </c>
      <c r="F238" s="6" t="n">
        <v>250.9</v>
      </c>
    </row>
    <row r="239" customFormat="false" ht="15" hidden="false" customHeight="false" outlineLevel="0" collapsed="false">
      <c r="A239" s="6" t="s">
        <v>117</v>
      </c>
      <c r="B239" s="6" t="s">
        <v>118</v>
      </c>
      <c r="C239" s="6" t="s">
        <v>76</v>
      </c>
      <c r="D239" s="6" t="n">
        <v>91.5</v>
      </c>
      <c r="E239" s="6" t="n">
        <v>163.2</v>
      </c>
      <c r="F239" s="6" t="n">
        <v>265.2</v>
      </c>
    </row>
    <row r="240" customFormat="false" ht="15" hidden="false" customHeight="false" outlineLevel="0" collapsed="false">
      <c r="A240" s="6" t="s">
        <v>117</v>
      </c>
      <c r="B240" s="6" t="s">
        <v>118</v>
      </c>
      <c r="C240" s="6" t="s">
        <v>77</v>
      </c>
      <c r="D240" s="6" t="n">
        <v>41.9</v>
      </c>
      <c r="E240" s="6" t="n">
        <v>157.1</v>
      </c>
      <c r="F240" s="6" t="n">
        <v>267.8</v>
      </c>
    </row>
    <row r="241" customFormat="false" ht="15" hidden="false" customHeight="false" outlineLevel="0" collapsed="false">
      <c r="A241" s="6" t="s">
        <v>117</v>
      </c>
      <c r="B241" s="6" t="s">
        <v>118</v>
      </c>
      <c r="C241" s="6" t="s">
        <v>78</v>
      </c>
      <c r="D241" s="6" t="n">
        <v>4.8</v>
      </c>
      <c r="E241" s="6" t="n">
        <v>138.2</v>
      </c>
      <c r="F241" s="6" t="n">
        <v>267.2</v>
      </c>
    </row>
    <row r="242" customFormat="false" ht="15" hidden="false" customHeight="false" outlineLevel="0" collapsed="false">
      <c r="A242" s="6" t="s">
        <v>117</v>
      </c>
      <c r="B242" s="6" t="s">
        <v>118</v>
      </c>
      <c r="C242" s="6" t="s">
        <v>79</v>
      </c>
      <c r="D242" s="6" t="n">
        <v>87.4</v>
      </c>
      <c r="E242" s="6" t="n">
        <v>134.1</v>
      </c>
      <c r="F242" s="6" t="n">
        <v>334.9</v>
      </c>
    </row>
    <row r="243" customFormat="false" ht="15" hidden="false" customHeight="false" outlineLevel="0" collapsed="false">
      <c r="A243" s="6" t="s">
        <v>117</v>
      </c>
      <c r="B243" s="6" t="s">
        <v>118</v>
      </c>
      <c r="C243" s="6" t="s">
        <v>80</v>
      </c>
      <c r="D243" s="6" t="n">
        <v>10.9</v>
      </c>
      <c r="E243" s="6" t="n">
        <v>103.1</v>
      </c>
      <c r="F243" s="6" t="n">
        <v>308.2</v>
      </c>
    </row>
    <row r="244" customFormat="false" ht="15" hidden="false" customHeight="false" outlineLevel="0" collapsed="false">
      <c r="A244" s="6" t="s">
        <v>117</v>
      </c>
      <c r="B244" s="6" t="s">
        <v>118</v>
      </c>
      <c r="C244" s="6" t="s">
        <v>81</v>
      </c>
      <c r="D244" s="6" t="n">
        <v>91.8</v>
      </c>
      <c r="E244" s="6" t="n">
        <v>190.1</v>
      </c>
      <c r="F244" s="6" t="n">
        <v>352</v>
      </c>
    </row>
    <row r="245" customFormat="false" ht="15" hidden="false" customHeight="false" outlineLevel="0" collapsed="false">
      <c r="A245" s="6" t="s">
        <v>117</v>
      </c>
      <c r="B245" s="6" t="s">
        <v>118</v>
      </c>
      <c r="C245" s="6" t="s">
        <v>82</v>
      </c>
      <c r="D245" s="6" t="n">
        <v>8.4</v>
      </c>
      <c r="E245" s="6" t="n">
        <v>111.1</v>
      </c>
      <c r="F245" s="6" t="n">
        <v>336.7</v>
      </c>
    </row>
    <row r="246" customFormat="false" ht="15" hidden="false" customHeight="false" outlineLevel="0" collapsed="false">
      <c r="A246" s="6" t="s">
        <v>117</v>
      </c>
      <c r="B246" s="6" t="s">
        <v>118</v>
      </c>
      <c r="C246" s="6" t="s">
        <v>83</v>
      </c>
      <c r="D246" s="6" t="n">
        <v>14.2</v>
      </c>
      <c r="E246" s="6" t="n">
        <v>114.4</v>
      </c>
      <c r="F246" s="6" t="n">
        <v>259.4</v>
      </c>
    </row>
    <row r="247" customFormat="false" ht="15" hidden="false" customHeight="false" outlineLevel="0" collapsed="false">
      <c r="A247" s="6" t="s">
        <v>117</v>
      </c>
      <c r="B247" s="6" t="s">
        <v>118</v>
      </c>
      <c r="C247" s="6" t="s">
        <v>84</v>
      </c>
      <c r="D247" s="6" t="n">
        <v>30.9</v>
      </c>
      <c r="E247" s="6" t="n">
        <v>53.5</v>
      </c>
      <c r="F247" s="6" t="n">
        <v>248.4</v>
      </c>
    </row>
    <row r="248" customFormat="false" ht="15" hidden="false" customHeight="false" outlineLevel="0" collapsed="false">
      <c r="A248" s="6" t="s">
        <v>117</v>
      </c>
      <c r="B248" s="6" t="s">
        <v>118</v>
      </c>
      <c r="C248" s="6" t="s">
        <v>85</v>
      </c>
      <c r="D248" s="6" t="n">
        <v>2</v>
      </c>
      <c r="E248" s="6" t="n">
        <v>47.1</v>
      </c>
      <c r="F248" s="6" t="n">
        <v>245.6</v>
      </c>
    </row>
    <row r="249" customFormat="false" ht="15" hidden="false" customHeight="false" outlineLevel="0" collapsed="false">
      <c r="A249" s="6" t="s">
        <v>117</v>
      </c>
      <c r="B249" s="6" t="s">
        <v>118</v>
      </c>
      <c r="C249" s="6" t="s">
        <v>86</v>
      </c>
      <c r="D249" s="6" t="n">
        <v>71.1</v>
      </c>
      <c r="E249" s="6" t="n">
        <v>104</v>
      </c>
      <c r="F249" s="6" t="n">
        <v>229.3</v>
      </c>
    </row>
    <row r="250" customFormat="false" ht="15" hidden="false" customHeight="false" outlineLevel="0" collapsed="false">
      <c r="A250" s="6" t="s">
        <v>117</v>
      </c>
      <c r="B250" s="6" t="s">
        <v>118</v>
      </c>
      <c r="C250" s="6" t="s">
        <v>87</v>
      </c>
      <c r="D250" s="6" t="n">
        <v>12.1</v>
      </c>
      <c r="E250" s="6" t="n">
        <v>85.2</v>
      </c>
      <c r="F250" s="6" t="n">
        <v>230.5</v>
      </c>
    </row>
    <row r="251" customFormat="false" ht="15" hidden="false" customHeight="false" outlineLevel="0" collapsed="false">
      <c r="A251" s="6" t="s">
        <v>117</v>
      </c>
      <c r="B251" s="6" t="s">
        <v>118</v>
      </c>
      <c r="C251" s="6" t="s">
        <v>88</v>
      </c>
      <c r="D251" s="6" t="n">
        <v>7</v>
      </c>
      <c r="E251" s="6" t="n">
        <v>90.2</v>
      </c>
      <c r="F251" s="6" t="n">
        <v>145.7</v>
      </c>
    </row>
    <row r="252" customFormat="false" ht="15" hidden="false" customHeight="false" outlineLevel="0" collapsed="false">
      <c r="A252" s="6" t="s">
        <v>117</v>
      </c>
      <c r="B252" s="6" t="s">
        <v>118</v>
      </c>
      <c r="C252" s="6" t="s">
        <v>89</v>
      </c>
      <c r="D252" s="6" t="n">
        <v>1.6</v>
      </c>
      <c r="E252" s="6" t="n">
        <v>20.7</v>
      </c>
      <c r="F252" s="6" t="n">
        <v>138.9</v>
      </c>
    </row>
    <row r="253" customFormat="false" ht="15" hidden="false" customHeight="false" outlineLevel="0" collapsed="false">
      <c r="A253" s="6" t="s">
        <v>117</v>
      </c>
      <c r="B253" s="6" t="s">
        <v>118</v>
      </c>
      <c r="C253" s="6" t="s">
        <v>90</v>
      </c>
      <c r="D253" s="6" t="n">
        <v>0.7</v>
      </c>
      <c r="E253" s="6" t="n">
        <v>9.3</v>
      </c>
      <c r="F253" s="6" t="n">
        <v>125.4</v>
      </c>
    </row>
    <row r="254" customFormat="false" ht="15" hidden="false" customHeight="false" outlineLevel="0" collapsed="false">
      <c r="A254" s="6" t="s">
        <v>117</v>
      </c>
      <c r="B254" s="6" t="s">
        <v>118</v>
      </c>
      <c r="C254" s="6" t="s">
        <v>91</v>
      </c>
      <c r="D254" s="6" t="n">
        <v>0.8</v>
      </c>
      <c r="E254" s="6" t="n">
        <v>3.1</v>
      </c>
      <c r="F254" s="6" t="n">
        <v>95.3</v>
      </c>
    </row>
    <row r="255" customFormat="false" ht="15" hidden="false" customHeight="false" outlineLevel="0" collapsed="false">
      <c r="A255" s="6" t="s">
        <v>117</v>
      </c>
      <c r="B255" s="6" t="s">
        <v>118</v>
      </c>
      <c r="C255" s="6" t="s">
        <v>92</v>
      </c>
      <c r="D255" s="6" t="n">
        <v>10.3</v>
      </c>
      <c r="E255" s="6" t="n">
        <v>11.8</v>
      </c>
      <c r="F255" s="6" t="n">
        <v>103.6</v>
      </c>
    </row>
    <row r="256" customFormat="false" ht="15" hidden="false" customHeight="false" outlineLevel="0" collapsed="false">
      <c r="A256" s="6" t="s">
        <v>117</v>
      </c>
      <c r="B256" s="6" t="s">
        <v>118</v>
      </c>
      <c r="C256" s="6" t="s">
        <v>93</v>
      </c>
      <c r="D256" s="6" t="n">
        <v>9.9</v>
      </c>
      <c r="E256" s="6" t="n">
        <v>21</v>
      </c>
      <c r="F256" s="6" t="n">
        <v>42.4</v>
      </c>
    </row>
    <row r="257" customFormat="false" ht="15" hidden="false" customHeight="false" outlineLevel="0" collapsed="false">
      <c r="A257" s="6" t="s">
        <v>117</v>
      </c>
      <c r="B257" s="6" t="s">
        <v>118</v>
      </c>
      <c r="C257" s="6" t="s">
        <v>94</v>
      </c>
      <c r="D257" s="6" t="n">
        <v>27.6</v>
      </c>
      <c r="E257" s="6" t="n">
        <v>47.8</v>
      </c>
      <c r="F257" s="6" t="n">
        <v>57.9</v>
      </c>
    </row>
    <row r="258" customFormat="false" ht="15" hidden="false" customHeight="false" outlineLevel="0" collapsed="false">
      <c r="A258" s="6" t="s">
        <v>117</v>
      </c>
      <c r="B258" s="6" t="s">
        <v>118</v>
      </c>
      <c r="C258" s="6" t="s">
        <v>95</v>
      </c>
      <c r="D258" s="6" t="n">
        <v>61.8</v>
      </c>
      <c r="E258" s="6" t="n">
        <v>99.3</v>
      </c>
      <c r="F258" s="6" t="n">
        <v>112.7</v>
      </c>
    </row>
    <row r="259" customFormat="false" ht="15" hidden="false" customHeight="false" outlineLevel="0" collapsed="false">
      <c r="A259" s="6" t="s">
        <v>117</v>
      </c>
      <c r="B259" s="6" t="s">
        <v>118</v>
      </c>
      <c r="C259" s="6" t="s">
        <v>96</v>
      </c>
      <c r="D259" s="6" t="n">
        <v>31.7</v>
      </c>
      <c r="E259" s="6" t="n">
        <v>121.1</v>
      </c>
      <c r="F259" s="6" t="n">
        <v>142.8</v>
      </c>
    </row>
    <row r="260" customFormat="false" ht="15" hidden="false" customHeight="false" outlineLevel="0" collapsed="false">
      <c r="A260" s="6" t="s">
        <v>117</v>
      </c>
      <c r="B260" s="6" t="s">
        <v>118</v>
      </c>
      <c r="C260" s="6" t="s">
        <v>97</v>
      </c>
      <c r="D260" s="6" t="n">
        <v>29.4</v>
      </c>
      <c r="E260" s="6" t="n">
        <v>122.9</v>
      </c>
      <c r="F260" s="6" t="n">
        <v>171.5</v>
      </c>
    </row>
    <row r="261" customFormat="false" ht="15" hidden="false" customHeight="false" outlineLevel="0" collapsed="false">
      <c r="A261" s="6" t="s">
        <v>117</v>
      </c>
      <c r="B261" s="6" t="s">
        <v>118</v>
      </c>
      <c r="C261" s="6" t="s">
        <v>98</v>
      </c>
      <c r="D261" s="6" t="n">
        <v>15</v>
      </c>
      <c r="E261" s="6" t="n">
        <v>76.1</v>
      </c>
      <c r="F261" s="6" t="n">
        <v>185.7</v>
      </c>
    </row>
    <row r="262" customFormat="false" ht="15" hidden="false" customHeight="false" outlineLevel="0" collapsed="false">
      <c r="A262" s="6" t="s">
        <v>117</v>
      </c>
      <c r="B262" s="6" t="s">
        <v>118</v>
      </c>
      <c r="C262" s="6" t="s">
        <v>99</v>
      </c>
      <c r="D262" s="6" t="n">
        <v>26.1</v>
      </c>
      <c r="E262" s="6" t="n">
        <v>70.5</v>
      </c>
      <c r="F262" s="6" t="n">
        <v>201.5</v>
      </c>
    </row>
    <row r="263" customFormat="false" ht="15" hidden="false" customHeight="false" outlineLevel="0" collapsed="false">
      <c r="A263" s="6" t="s">
        <v>117</v>
      </c>
      <c r="B263" s="6" t="s">
        <v>118</v>
      </c>
      <c r="C263" s="6" t="s">
        <v>100</v>
      </c>
      <c r="D263" s="6" t="n">
        <v>21.6</v>
      </c>
      <c r="E263" s="6" t="n">
        <v>62.7</v>
      </c>
      <c r="F263" s="6" t="n">
        <v>213.2</v>
      </c>
    </row>
    <row r="264" customFormat="false" ht="15" hidden="false" customHeight="false" outlineLevel="0" collapsed="false">
      <c r="A264" s="6" t="s">
        <v>117</v>
      </c>
      <c r="B264" s="6" t="s">
        <v>118</v>
      </c>
      <c r="C264" s="6" t="s">
        <v>101</v>
      </c>
      <c r="D264" s="6" t="n">
        <v>1.4</v>
      </c>
      <c r="E264" s="6" t="n">
        <v>49.1</v>
      </c>
      <c r="F264" s="6" t="n">
        <v>187</v>
      </c>
    </row>
    <row r="265" customFormat="false" ht="15" hidden="false" customHeight="false" outlineLevel="0" collapsed="false">
      <c r="A265" s="6" t="s">
        <v>117</v>
      </c>
      <c r="B265" s="6" t="s">
        <v>118</v>
      </c>
      <c r="C265" s="6" t="s">
        <v>102</v>
      </c>
      <c r="D265" s="6" t="n">
        <v>7.3</v>
      </c>
      <c r="E265" s="6" t="n">
        <v>30.3</v>
      </c>
      <c r="F265" s="6" t="n">
        <v>132.5</v>
      </c>
    </row>
    <row r="266" customFormat="false" ht="15" hidden="false" customHeight="false" outlineLevel="0" collapsed="false">
      <c r="A266" s="6" t="s">
        <v>117</v>
      </c>
      <c r="B266" s="6" t="s">
        <v>118</v>
      </c>
      <c r="C266" s="6" t="s">
        <v>103</v>
      </c>
      <c r="D266" s="6" t="n">
        <v>7</v>
      </c>
      <c r="E266" s="6" t="n">
        <v>15.7</v>
      </c>
      <c r="F266" s="6" t="n">
        <v>107.8</v>
      </c>
    </row>
    <row r="267" customFormat="false" ht="15" hidden="false" customHeight="false" outlineLevel="0" collapsed="false">
      <c r="A267" s="6" t="s">
        <v>117</v>
      </c>
      <c r="B267" s="6" t="s">
        <v>118</v>
      </c>
      <c r="C267" s="6" t="s">
        <v>104</v>
      </c>
      <c r="D267" s="6" t="n">
        <v>2.1</v>
      </c>
      <c r="E267" s="6" t="n">
        <v>16.4</v>
      </c>
      <c r="F267" s="6" t="n">
        <v>80.5</v>
      </c>
    </row>
    <row r="268" customFormat="false" ht="15" hidden="false" customHeight="false" outlineLevel="0" collapsed="false">
      <c r="A268" s="6" t="s">
        <v>117</v>
      </c>
      <c r="B268" s="6" t="s">
        <v>118</v>
      </c>
      <c r="C268" s="6" t="s">
        <v>105</v>
      </c>
      <c r="D268" s="6" t="n">
        <v>12.4</v>
      </c>
      <c r="E268" s="6" t="n">
        <v>21.5</v>
      </c>
      <c r="F268" s="6" t="n">
        <v>77.9</v>
      </c>
    </row>
    <row r="269" customFormat="false" ht="15" hidden="false" customHeight="false" outlineLevel="0" collapsed="false">
      <c r="A269" s="6" t="s">
        <v>117</v>
      </c>
      <c r="B269" s="6" t="s">
        <v>118</v>
      </c>
      <c r="C269" s="6" t="s">
        <v>106</v>
      </c>
      <c r="D269" s="6" t="n">
        <v>1.6</v>
      </c>
      <c r="E269" s="6" t="n">
        <v>16.1</v>
      </c>
      <c r="F269" s="6" t="n">
        <v>53.4</v>
      </c>
    </row>
    <row r="270" customFormat="false" ht="15" hidden="false" customHeight="false" outlineLevel="0" collapsed="false">
      <c r="A270" s="6" t="s">
        <v>117</v>
      </c>
      <c r="B270" s="6" t="s">
        <v>118</v>
      </c>
      <c r="C270" s="6" t="s">
        <v>107</v>
      </c>
      <c r="D270" s="6" t="n">
        <v>40.6</v>
      </c>
      <c r="E270" s="6" t="n">
        <v>54.6</v>
      </c>
      <c r="F270" s="6" t="n">
        <v>72.4</v>
      </c>
    </row>
    <row r="271" customFormat="false" ht="15" hidden="false" customHeight="false" outlineLevel="0" collapsed="false">
      <c r="A271" s="6" t="s">
        <v>117</v>
      </c>
      <c r="B271" s="6" t="s">
        <v>118</v>
      </c>
      <c r="C271" s="6" t="s">
        <v>108</v>
      </c>
      <c r="D271" s="6" t="n">
        <v>41.6</v>
      </c>
      <c r="E271" s="6" t="n">
        <v>83.8</v>
      </c>
      <c r="F271" s="6" t="n">
        <v>112.6</v>
      </c>
    </row>
    <row r="272" customFormat="false" ht="15" hidden="false" customHeight="false" outlineLevel="0" collapsed="false">
      <c r="A272" s="6" t="s">
        <v>117</v>
      </c>
      <c r="B272" s="6" t="s">
        <v>118</v>
      </c>
      <c r="C272" s="6" t="s">
        <v>109</v>
      </c>
      <c r="D272" s="6" t="n">
        <v>2.9</v>
      </c>
      <c r="E272" s="6" t="n">
        <v>85.1</v>
      </c>
      <c r="F272" s="6" t="n">
        <v>108.2</v>
      </c>
    </row>
    <row r="273" customFormat="false" ht="15" hidden="false" customHeight="false" outlineLevel="0" collapsed="false">
      <c r="A273" s="6" t="s">
        <v>117</v>
      </c>
      <c r="B273" s="6" t="s">
        <v>118</v>
      </c>
      <c r="C273" s="6" t="s">
        <v>110</v>
      </c>
      <c r="D273" s="6" t="n">
        <v>8.2</v>
      </c>
      <c r="E273" s="6" t="n">
        <v>52.7</v>
      </c>
      <c r="F273" s="6" t="n">
        <v>109.4</v>
      </c>
    </row>
    <row r="274" customFormat="false" ht="15" hidden="false" customHeight="false" outlineLevel="0" collapsed="false">
      <c r="A274" s="6" t="s">
        <v>117</v>
      </c>
      <c r="B274" s="6" t="s">
        <v>118</v>
      </c>
      <c r="C274" s="6" t="s">
        <v>111</v>
      </c>
      <c r="D274" s="6" t="n">
        <v>84.5</v>
      </c>
      <c r="E274" s="6" t="n">
        <v>95.6</v>
      </c>
      <c r="F274" s="6" t="n">
        <v>191.8</v>
      </c>
    </row>
    <row r="275" customFormat="false" ht="15" hidden="false" customHeight="false" outlineLevel="0" collapsed="false">
      <c r="A275" s="6" t="s">
        <v>117</v>
      </c>
      <c r="B275" s="6" t="s">
        <v>118</v>
      </c>
      <c r="C275" s="6" t="s">
        <v>112</v>
      </c>
      <c r="D275" s="6" t="n">
        <v>8.5</v>
      </c>
      <c r="E275" s="6" t="n">
        <v>101.2</v>
      </c>
      <c r="F275" s="6" t="n">
        <v>187.9</v>
      </c>
    </row>
    <row r="276" customFormat="false" ht="15" hidden="false" customHeight="false" outlineLevel="0" collapsed="false">
      <c r="A276" s="6" t="s">
        <v>117</v>
      </c>
      <c r="B276" s="6" t="s">
        <v>118</v>
      </c>
      <c r="C276" s="6" t="s">
        <v>113</v>
      </c>
      <c r="D276" s="6" t="n">
        <v>19</v>
      </c>
      <c r="E276" s="6" t="n">
        <v>112</v>
      </c>
      <c r="F276" s="6" t="n">
        <v>205.3</v>
      </c>
    </row>
    <row r="277" customFormat="false" ht="15" hidden="false" customHeight="false" outlineLevel="0" collapsed="false">
      <c r="A277" s="6" t="s">
        <v>117</v>
      </c>
      <c r="B277" s="6" t="s">
        <v>118</v>
      </c>
      <c r="C277" s="6" t="s">
        <v>114</v>
      </c>
      <c r="D277" s="6" t="n">
        <v>16.6</v>
      </c>
      <c r="E277" s="6" t="n">
        <v>44.1</v>
      </c>
      <c r="F277" s="6" t="n">
        <v>181.3</v>
      </c>
    </row>
    <row r="278" customFormat="false" ht="15" hidden="false" customHeight="false" outlineLevel="0" collapsed="false">
      <c r="A278" s="6" t="s">
        <v>119</v>
      </c>
      <c r="B278" s="6" t="s">
        <v>120</v>
      </c>
      <c r="C278" s="6" t="s">
        <v>23</v>
      </c>
      <c r="D278" s="6" t="n">
        <v>13.3</v>
      </c>
      <c r="E278" s="6" t="n">
        <v>13.3</v>
      </c>
      <c r="F278" s="6" t="n">
        <v>13.3</v>
      </c>
    </row>
    <row r="279" customFormat="false" ht="15" hidden="false" customHeight="false" outlineLevel="0" collapsed="false">
      <c r="A279" s="6" t="s">
        <v>119</v>
      </c>
      <c r="B279" s="6" t="s">
        <v>120</v>
      </c>
      <c r="C279" s="6" t="s">
        <v>24</v>
      </c>
      <c r="D279" s="6" t="n">
        <v>16.5</v>
      </c>
      <c r="E279" s="6" t="n">
        <v>29.8</v>
      </c>
      <c r="F279" s="6" t="n">
        <v>29.8</v>
      </c>
    </row>
    <row r="280" customFormat="false" ht="15" hidden="false" customHeight="false" outlineLevel="0" collapsed="false">
      <c r="A280" s="6" t="s">
        <v>119</v>
      </c>
      <c r="B280" s="6" t="s">
        <v>120</v>
      </c>
      <c r="C280" s="6" t="s">
        <v>25</v>
      </c>
      <c r="D280" s="6" t="n">
        <v>12.5</v>
      </c>
      <c r="E280" s="6" t="n">
        <v>42.3</v>
      </c>
      <c r="F280" s="6" t="n">
        <v>42.3</v>
      </c>
    </row>
    <row r="281" customFormat="false" ht="15" hidden="false" customHeight="false" outlineLevel="0" collapsed="false">
      <c r="A281" s="6" t="s">
        <v>119</v>
      </c>
      <c r="B281" s="6" t="s">
        <v>120</v>
      </c>
      <c r="C281" s="6" t="s">
        <v>26</v>
      </c>
      <c r="D281" s="6" t="n">
        <v>13.6</v>
      </c>
      <c r="E281" s="6" t="n">
        <v>42.6</v>
      </c>
      <c r="F281" s="6" t="n">
        <v>55.9</v>
      </c>
    </row>
    <row r="282" customFormat="false" ht="15" hidden="false" customHeight="false" outlineLevel="0" collapsed="false">
      <c r="A282" s="6" t="s">
        <v>119</v>
      </c>
      <c r="B282" s="6" t="s">
        <v>120</v>
      </c>
      <c r="C282" s="6" t="s">
        <v>27</v>
      </c>
      <c r="D282" s="6" t="n">
        <v>20.6</v>
      </c>
      <c r="E282" s="6" t="n">
        <v>46.7</v>
      </c>
      <c r="F282" s="6" t="n">
        <v>76.5</v>
      </c>
    </row>
    <row r="283" customFormat="false" ht="15" hidden="false" customHeight="false" outlineLevel="0" collapsed="false">
      <c r="A283" s="6" t="s">
        <v>119</v>
      </c>
      <c r="B283" s="6" t="s">
        <v>120</v>
      </c>
      <c r="C283" s="6" t="s">
        <v>28</v>
      </c>
      <c r="D283" s="6" t="n">
        <v>5.9</v>
      </c>
      <c r="E283" s="6" t="n">
        <v>40.1</v>
      </c>
      <c r="F283" s="6" t="n">
        <v>82.4</v>
      </c>
    </row>
    <row r="284" customFormat="false" ht="15" hidden="false" customHeight="false" outlineLevel="0" collapsed="false">
      <c r="A284" s="6" t="s">
        <v>119</v>
      </c>
      <c r="B284" s="6" t="s">
        <v>120</v>
      </c>
      <c r="C284" s="6" t="s">
        <v>29</v>
      </c>
      <c r="D284" s="6" t="n">
        <v>0.9</v>
      </c>
      <c r="E284" s="6" t="n">
        <v>27.4</v>
      </c>
      <c r="F284" s="6" t="n">
        <v>83.3</v>
      </c>
    </row>
    <row r="285" customFormat="false" ht="15" hidden="false" customHeight="false" outlineLevel="0" collapsed="false">
      <c r="A285" s="6" t="s">
        <v>119</v>
      </c>
      <c r="B285" s="6" t="s">
        <v>120</v>
      </c>
      <c r="C285" s="6" t="s">
        <v>30</v>
      </c>
      <c r="D285" s="6" t="n">
        <v>20</v>
      </c>
      <c r="E285" s="6" t="n">
        <v>26.8</v>
      </c>
      <c r="F285" s="6" t="n">
        <v>90</v>
      </c>
    </row>
    <row r="286" customFormat="false" ht="15" hidden="false" customHeight="false" outlineLevel="0" collapsed="false">
      <c r="A286" s="6" t="s">
        <v>119</v>
      </c>
      <c r="B286" s="6" t="s">
        <v>120</v>
      </c>
      <c r="C286" s="6" t="s">
        <v>31</v>
      </c>
      <c r="D286" s="6" t="n">
        <v>0.9</v>
      </c>
      <c r="E286" s="6" t="n">
        <v>21.8</v>
      </c>
      <c r="F286" s="6" t="n">
        <v>74.4</v>
      </c>
    </row>
    <row r="287" customFormat="false" ht="15" hidden="false" customHeight="false" outlineLevel="0" collapsed="false">
      <c r="A287" s="6" t="s">
        <v>119</v>
      </c>
      <c r="B287" s="6" t="s">
        <v>120</v>
      </c>
      <c r="C287" s="6" t="s">
        <v>32</v>
      </c>
      <c r="D287" s="6" t="n">
        <v>4.5</v>
      </c>
      <c r="E287" s="6" t="n">
        <v>25.4</v>
      </c>
      <c r="F287" s="6" t="n">
        <v>66.4</v>
      </c>
    </row>
    <row r="288" customFormat="false" ht="15" hidden="false" customHeight="false" outlineLevel="0" collapsed="false">
      <c r="A288" s="6" t="s">
        <v>119</v>
      </c>
      <c r="B288" s="6" t="s">
        <v>120</v>
      </c>
      <c r="C288" s="6" t="s">
        <v>33</v>
      </c>
      <c r="D288" s="6" t="n">
        <v>13.4</v>
      </c>
      <c r="E288" s="6" t="n">
        <v>18.8</v>
      </c>
      <c r="F288" s="6" t="n">
        <v>66.2</v>
      </c>
    </row>
    <row r="289" customFormat="false" ht="15" hidden="false" customHeight="false" outlineLevel="0" collapsed="false">
      <c r="A289" s="6" t="s">
        <v>119</v>
      </c>
      <c r="B289" s="6" t="s">
        <v>120</v>
      </c>
      <c r="C289" s="6" t="s">
        <v>34</v>
      </c>
      <c r="D289" s="6" t="n">
        <v>13.8</v>
      </c>
      <c r="E289" s="6" t="n">
        <v>31.7</v>
      </c>
      <c r="F289" s="6" t="n">
        <v>59.4</v>
      </c>
    </row>
    <row r="290" customFormat="false" ht="15" hidden="false" customHeight="false" outlineLevel="0" collapsed="false">
      <c r="A290" s="6" t="s">
        <v>119</v>
      </c>
      <c r="B290" s="6" t="s">
        <v>120</v>
      </c>
      <c r="C290" s="6" t="s">
        <v>35</v>
      </c>
      <c r="D290" s="6" t="n">
        <v>6.2</v>
      </c>
      <c r="E290" s="6" t="n">
        <v>33.4</v>
      </c>
      <c r="F290" s="6" t="n">
        <v>59.7</v>
      </c>
    </row>
    <row r="291" customFormat="false" ht="15" hidden="false" customHeight="false" outlineLevel="0" collapsed="false">
      <c r="A291" s="6" t="s">
        <v>119</v>
      </c>
      <c r="B291" s="6" t="s">
        <v>120</v>
      </c>
      <c r="C291" s="6" t="s">
        <v>36</v>
      </c>
      <c r="D291" s="6" t="n">
        <v>7.9</v>
      </c>
      <c r="E291" s="6" t="n">
        <v>27.9</v>
      </c>
      <c r="F291" s="6" t="n">
        <v>66.7</v>
      </c>
    </row>
    <row r="292" customFormat="false" ht="15" hidden="false" customHeight="false" outlineLevel="0" collapsed="false">
      <c r="A292" s="6" t="s">
        <v>119</v>
      </c>
      <c r="B292" s="6" t="s">
        <v>120</v>
      </c>
      <c r="C292" s="6" t="s">
        <v>37</v>
      </c>
      <c r="D292" s="6" t="n">
        <v>12.3</v>
      </c>
      <c r="E292" s="6" t="n">
        <v>26.4</v>
      </c>
      <c r="F292" s="6" t="n">
        <v>59</v>
      </c>
    </row>
    <row r="293" customFormat="false" ht="15" hidden="false" customHeight="false" outlineLevel="0" collapsed="false">
      <c r="A293" s="6" t="s">
        <v>119</v>
      </c>
      <c r="B293" s="6" t="s">
        <v>120</v>
      </c>
      <c r="C293" s="6" t="s">
        <v>38</v>
      </c>
      <c r="D293" s="6" t="n">
        <v>3.7</v>
      </c>
      <c r="E293" s="6" t="n">
        <v>23.9</v>
      </c>
      <c r="F293" s="6" t="n">
        <v>61.8</v>
      </c>
    </row>
    <row r="294" customFormat="false" ht="15" hidden="false" customHeight="false" outlineLevel="0" collapsed="false">
      <c r="A294" s="6" t="s">
        <v>119</v>
      </c>
      <c r="B294" s="6" t="s">
        <v>120</v>
      </c>
      <c r="C294" s="6" t="s">
        <v>39</v>
      </c>
      <c r="D294" s="6" t="n">
        <v>34.4</v>
      </c>
      <c r="E294" s="6" t="n">
        <v>50.4</v>
      </c>
      <c r="F294" s="6" t="n">
        <v>91.7</v>
      </c>
    </row>
    <row r="295" customFormat="false" ht="15" hidden="false" customHeight="false" outlineLevel="0" collapsed="false">
      <c r="A295" s="6" t="s">
        <v>119</v>
      </c>
      <c r="B295" s="6" t="s">
        <v>120</v>
      </c>
      <c r="C295" s="6" t="s">
        <v>40</v>
      </c>
      <c r="D295" s="6" t="n">
        <v>2.8</v>
      </c>
      <c r="E295" s="6" t="n">
        <v>40.9</v>
      </c>
      <c r="F295" s="6" t="n">
        <v>81.1</v>
      </c>
    </row>
    <row r="296" customFormat="false" ht="15" hidden="false" customHeight="false" outlineLevel="0" collapsed="false">
      <c r="A296" s="6" t="s">
        <v>119</v>
      </c>
      <c r="B296" s="6" t="s">
        <v>120</v>
      </c>
      <c r="C296" s="6" t="s">
        <v>41</v>
      </c>
      <c r="D296" s="6" t="n">
        <v>7</v>
      </c>
      <c r="E296" s="6" t="n">
        <v>44.2</v>
      </c>
      <c r="F296" s="6" t="n">
        <v>74.3</v>
      </c>
    </row>
    <row r="297" customFormat="false" ht="15" hidden="false" customHeight="false" outlineLevel="0" collapsed="false">
      <c r="A297" s="6" t="s">
        <v>119</v>
      </c>
      <c r="B297" s="6" t="s">
        <v>120</v>
      </c>
      <c r="C297" s="6" t="s">
        <v>42</v>
      </c>
      <c r="D297" s="6" t="n">
        <v>5.2</v>
      </c>
      <c r="E297" s="6" t="n">
        <v>15</v>
      </c>
      <c r="F297" s="6" t="n">
        <v>73.3</v>
      </c>
    </row>
    <row r="298" customFormat="false" ht="15" hidden="false" customHeight="false" outlineLevel="0" collapsed="false">
      <c r="A298" s="6" t="s">
        <v>119</v>
      </c>
      <c r="B298" s="6" t="s">
        <v>120</v>
      </c>
      <c r="C298" s="6" t="s">
        <v>43</v>
      </c>
      <c r="D298" s="6" t="n">
        <v>9.9</v>
      </c>
      <c r="E298" s="6" t="n">
        <v>22.1</v>
      </c>
      <c r="F298" s="6" t="n">
        <v>75.3</v>
      </c>
    </row>
    <row r="299" customFormat="false" ht="15" hidden="false" customHeight="false" outlineLevel="0" collapsed="false">
      <c r="A299" s="6" t="s">
        <v>119</v>
      </c>
      <c r="B299" s="6" t="s">
        <v>120</v>
      </c>
      <c r="C299" s="6" t="s">
        <v>44</v>
      </c>
      <c r="D299" s="6" t="n">
        <v>32.9</v>
      </c>
      <c r="E299" s="6" t="n">
        <v>48</v>
      </c>
      <c r="F299" s="6" t="n">
        <v>95.9</v>
      </c>
    </row>
    <row r="300" customFormat="false" ht="15" hidden="false" customHeight="false" outlineLevel="0" collapsed="false">
      <c r="A300" s="6" t="s">
        <v>119</v>
      </c>
      <c r="B300" s="6" t="s">
        <v>120</v>
      </c>
      <c r="C300" s="6" t="s">
        <v>45</v>
      </c>
      <c r="D300" s="6" t="n">
        <v>9.7</v>
      </c>
      <c r="E300" s="6" t="n">
        <v>52.5</v>
      </c>
      <c r="F300" s="6" t="n">
        <v>101.9</v>
      </c>
    </row>
    <row r="301" customFormat="false" ht="15" hidden="false" customHeight="false" outlineLevel="0" collapsed="false">
      <c r="A301" s="6" t="s">
        <v>119</v>
      </c>
      <c r="B301" s="6" t="s">
        <v>120</v>
      </c>
      <c r="C301" s="6" t="s">
        <v>46</v>
      </c>
      <c r="D301" s="6" t="n">
        <v>13.6</v>
      </c>
      <c r="E301" s="6" t="n">
        <v>56.2</v>
      </c>
      <c r="F301" s="6" t="n">
        <v>81.1</v>
      </c>
    </row>
    <row r="302" customFormat="false" ht="15" hidden="false" customHeight="false" outlineLevel="0" collapsed="false">
      <c r="A302" s="6" t="s">
        <v>119</v>
      </c>
      <c r="B302" s="6" t="s">
        <v>120</v>
      </c>
      <c r="C302" s="6" t="s">
        <v>47</v>
      </c>
      <c r="D302" s="6" t="n">
        <v>16.1</v>
      </c>
      <c r="E302" s="6" t="n">
        <v>39.4</v>
      </c>
      <c r="F302" s="6" t="n">
        <v>94.4</v>
      </c>
    </row>
    <row r="303" customFormat="false" ht="15" hidden="false" customHeight="false" outlineLevel="0" collapsed="false">
      <c r="A303" s="6" t="s">
        <v>119</v>
      </c>
      <c r="B303" s="6" t="s">
        <v>120</v>
      </c>
      <c r="C303" s="6" t="s">
        <v>48</v>
      </c>
      <c r="D303" s="6" t="n">
        <v>24.3</v>
      </c>
      <c r="E303" s="6" t="n">
        <v>54</v>
      </c>
      <c r="F303" s="6" t="n">
        <v>111.7</v>
      </c>
    </row>
    <row r="304" customFormat="false" ht="15" hidden="false" customHeight="false" outlineLevel="0" collapsed="false">
      <c r="A304" s="6" t="s">
        <v>119</v>
      </c>
      <c r="B304" s="6" t="s">
        <v>120</v>
      </c>
      <c r="C304" s="6" t="s">
        <v>49</v>
      </c>
      <c r="D304" s="6" t="n">
        <v>3.2</v>
      </c>
      <c r="E304" s="6" t="n">
        <v>43.6</v>
      </c>
      <c r="F304" s="6" t="n">
        <v>109.7</v>
      </c>
    </row>
    <row r="305" customFormat="false" ht="15" hidden="false" customHeight="false" outlineLevel="0" collapsed="false">
      <c r="A305" s="6" t="s">
        <v>119</v>
      </c>
      <c r="B305" s="6" t="s">
        <v>120</v>
      </c>
      <c r="C305" s="6" t="s">
        <v>50</v>
      </c>
      <c r="D305" s="6" t="n">
        <v>3</v>
      </c>
      <c r="E305" s="6" t="n">
        <v>30.5</v>
      </c>
      <c r="F305" s="6" t="n">
        <v>102.8</v>
      </c>
    </row>
    <row r="306" customFormat="false" ht="15" hidden="false" customHeight="false" outlineLevel="0" collapsed="false">
      <c r="A306" s="6" t="s">
        <v>119</v>
      </c>
      <c r="B306" s="6" t="s">
        <v>120</v>
      </c>
      <c r="C306" s="6" t="s">
        <v>51</v>
      </c>
      <c r="D306" s="6" t="n">
        <v>7.1</v>
      </c>
      <c r="E306" s="6" t="n">
        <v>13.3</v>
      </c>
      <c r="F306" s="6" t="n">
        <v>77</v>
      </c>
    </row>
    <row r="307" customFormat="false" ht="15" hidden="false" customHeight="false" outlineLevel="0" collapsed="false">
      <c r="A307" s="6" t="s">
        <v>119</v>
      </c>
      <c r="B307" s="6" t="s">
        <v>120</v>
      </c>
      <c r="C307" s="6" t="s">
        <v>52</v>
      </c>
      <c r="D307" s="6" t="n">
        <v>7.3</v>
      </c>
      <c r="E307" s="6" t="n">
        <v>17.4</v>
      </c>
      <c r="F307" s="6" t="n">
        <v>74.6</v>
      </c>
    </row>
    <row r="308" customFormat="false" ht="15" hidden="false" customHeight="false" outlineLevel="0" collapsed="false">
      <c r="A308" s="6" t="s">
        <v>119</v>
      </c>
      <c r="B308" s="6" t="s">
        <v>120</v>
      </c>
      <c r="C308" s="6" t="s">
        <v>53</v>
      </c>
      <c r="D308" s="6" t="n">
        <v>2.3</v>
      </c>
      <c r="E308" s="6" t="n">
        <v>16.7</v>
      </c>
      <c r="F308" s="6" t="n">
        <v>63.3</v>
      </c>
    </row>
    <row r="309" customFormat="false" ht="15" hidden="false" customHeight="false" outlineLevel="0" collapsed="false">
      <c r="A309" s="6" t="s">
        <v>119</v>
      </c>
      <c r="B309" s="6" t="s">
        <v>120</v>
      </c>
      <c r="C309" s="6" t="s">
        <v>54</v>
      </c>
      <c r="D309" s="6" t="n">
        <v>16.4</v>
      </c>
      <c r="E309" s="6" t="n">
        <v>26</v>
      </c>
      <c r="F309" s="6" t="n">
        <v>63.6</v>
      </c>
    </row>
    <row r="310" customFormat="false" ht="15" hidden="false" customHeight="false" outlineLevel="0" collapsed="false">
      <c r="A310" s="6" t="s">
        <v>119</v>
      </c>
      <c r="B310" s="6" t="s">
        <v>120</v>
      </c>
      <c r="C310" s="6" t="s">
        <v>55</v>
      </c>
      <c r="D310" s="6" t="n">
        <v>14.9</v>
      </c>
      <c r="E310" s="6" t="n">
        <v>33.6</v>
      </c>
      <c r="F310" s="6" t="n">
        <v>54.2</v>
      </c>
    </row>
    <row r="311" customFormat="false" ht="15" hidden="false" customHeight="false" outlineLevel="0" collapsed="false">
      <c r="A311" s="6" t="s">
        <v>119</v>
      </c>
      <c r="B311" s="6" t="s">
        <v>120</v>
      </c>
      <c r="C311" s="6" t="s">
        <v>56</v>
      </c>
      <c r="D311" s="6" t="n">
        <v>44.8</v>
      </c>
      <c r="E311" s="6" t="n">
        <v>76.1</v>
      </c>
      <c r="F311" s="6" t="n">
        <v>95.8</v>
      </c>
    </row>
    <row r="312" customFormat="false" ht="15" hidden="false" customHeight="false" outlineLevel="0" collapsed="false">
      <c r="A312" s="6" t="s">
        <v>119</v>
      </c>
      <c r="B312" s="6" t="s">
        <v>120</v>
      </c>
      <c r="C312" s="6" t="s">
        <v>57</v>
      </c>
      <c r="D312" s="6" t="n">
        <v>6.1</v>
      </c>
      <c r="E312" s="6" t="n">
        <v>65.8</v>
      </c>
      <c r="F312" s="6" t="n">
        <v>98.9</v>
      </c>
    </row>
    <row r="313" customFormat="false" ht="15" hidden="false" customHeight="false" outlineLevel="0" collapsed="false">
      <c r="A313" s="6" t="s">
        <v>119</v>
      </c>
      <c r="B313" s="6" t="s">
        <v>120</v>
      </c>
      <c r="C313" s="6" t="s">
        <v>58</v>
      </c>
      <c r="D313" s="6" t="n">
        <v>2.2</v>
      </c>
      <c r="E313" s="6" t="n">
        <v>53.1</v>
      </c>
      <c r="F313" s="6" t="n">
        <v>94</v>
      </c>
    </row>
    <row r="314" customFormat="false" ht="15" hidden="false" customHeight="false" outlineLevel="0" collapsed="false">
      <c r="A314" s="6" t="s">
        <v>119</v>
      </c>
      <c r="B314" s="6" t="s">
        <v>120</v>
      </c>
      <c r="C314" s="6" t="s">
        <v>59</v>
      </c>
      <c r="D314" s="6" t="n">
        <v>2.7</v>
      </c>
      <c r="E314" s="6" t="n">
        <v>11</v>
      </c>
      <c r="F314" s="6" t="n">
        <v>89.4</v>
      </c>
    </row>
    <row r="315" customFormat="false" ht="15" hidden="false" customHeight="false" outlineLevel="0" collapsed="false">
      <c r="A315" s="6" t="s">
        <v>119</v>
      </c>
      <c r="B315" s="6" t="s">
        <v>120</v>
      </c>
      <c r="C315" s="6" t="s">
        <v>60</v>
      </c>
      <c r="D315" s="6" t="n">
        <v>12.2</v>
      </c>
      <c r="E315" s="6" t="n">
        <v>17.1</v>
      </c>
      <c r="F315" s="6" t="n">
        <v>99.3</v>
      </c>
    </row>
    <row r="316" customFormat="false" ht="15" hidden="false" customHeight="false" outlineLevel="0" collapsed="false">
      <c r="A316" s="6" t="s">
        <v>119</v>
      </c>
      <c r="B316" s="6" t="s">
        <v>120</v>
      </c>
      <c r="C316" s="6" t="s">
        <v>61</v>
      </c>
      <c r="D316" s="6" t="n">
        <v>3.3</v>
      </c>
      <c r="E316" s="6" t="n">
        <v>18.2</v>
      </c>
      <c r="F316" s="6" t="n">
        <v>86.2</v>
      </c>
    </row>
    <row r="317" customFormat="false" ht="15" hidden="false" customHeight="false" outlineLevel="0" collapsed="false">
      <c r="A317" s="6" t="s">
        <v>119</v>
      </c>
      <c r="B317" s="6" t="s">
        <v>120</v>
      </c>
      <c r="C317" s="6" t="s">
        <v>62</v>
      </c>
      <c r="D317" s="6" t="n">
        <v>17.5</v>
      </c>
      <c r="E317" s="6" t="n">
        <v>33</v>
      </c>
      <c r="F317" s="6" t="n">
        <v>88.8</v>
      </c>
    </row>
    <row r="318" customFormat="false" ht="15" hidden="false" customHeight="false" outlineLevel="0" collapsed="false">
      <c r="A318" s="6" t="s">
        <v>119</v>
      </c>
      <c r="B318" s="6" t="s">
        <v>120</v>
      </c>
      <c r="C318" s="6" t="s">
        <v>63</v>
      </c>
      <c r="D318" s="6" t="n">
        <v>3.9</v>
      </c>
      <c r="E318" s="6" t="n">
        <v>24.7</v>
      </c>
      <c r="F318" s="6" t="n">
        <v>47.9</v>
      </c>
    </row>
    <row r="319" customFormat="false" ht="15" hidden="false" customHeight="false" outlineLevel="0" collapsed="false">
      <c r="A319" s="6" t="s">
        <v>119</v>
      </c>
      <c r="B319" s="6" t="s">
        <v>120</v>
      </c>
      <c r="C319" s="6" t="s">
        <v>64</v>
      </c>
      <c r="D319" s="6" t="n">
        <v>10.5</v>
      </c>
      <c r="E319" s="6" t="n">
        <v>31.9</v>
      </c>
      <c r="F319" s="6" t="n">
        <v>52.3</v>
      </c>
    </row>
    <row r="320" customFormat="false" ht="15" hidden="false" customHeight="false" outlineLevel="0" collapsed="false">
      <c r="A320" s="6" t="s">
        <v>119</v>
      </c>
      <c r="B320" s="6" t="s">
        <v>120</v>
      </c>
      <c r="C320" s="6" t="s">
        <v>65</v>
      </c>
      <c r="D320" s="6" t="n">
        <v>8</v>
      </c>
      <c r="E320" s="6" t="n">
        <v>22.4</v>
      </c>
      <c r="F320" s="6" t="n">
        <v>58.1</v>
      </c>
    </row>
    <row r="321" customFormat="false" ht="15" hidden="false" customHeight="false" outlineLevel="0" collapsed="false">
      <c r="A321" s="6" t="s">
        <v>119</v>
      </c>
      <c r="B321" s="6" t="s">
        <v>120</v>
      </c>
      <c r="C321" s="6" t="s">
        <v>66</v>
      </c>
      <c r="D321" s="6" t="n">
        <v>2.7</v>
      </c>
      <c r="E321" s="6" t="n">
        <v>21.2</v>
      </c>
      <c r="F321" s="6" t="n">
        <v>58.1</v>
      </c>
    </row>
    <row r="322" customFormat="false" ht="15" hidden="false" customHeight="false" outlineLevel="0" collapsed="false">
      <c r="A322" s="6" t="s">
        <v>119</v>
      </c>
      <c r="B322" s="6" t="s">
        <v>120</v>
      </c>
      <c r="C322" s="6" t="s">
        <v>67</v>
      </c>
      <c r="D322" s="6" t="n">
        <v>1</v>
      </c>
      <c r="E322" s="6" t="n">
        <v>11.7</v>
      </c>
      <c r="F322" s="6" t="n">
        <v>46.9</v>
      </c>
    </row>
    <row r="323" customFormat="false" ht="15" hidden="false" customHeight="false" outlineLevel="0" collapsed="false">
      <c r="A323" s="6" t="s">
        <v>119</v>
      </c>
      <c r="B323" s="6" t="s">
        <v>120</v>
      </c>
      <c r="C323" s="6" t="s">
        <v>68</v>
      </c>
      <c r="D323" s="6" t="n">
        <v>26.2</v>
      </c>
      <c r="E323" s="6" t="n">
        <v>29.9</v>
      </c>
      <c r="F323" s="6" t="n">
        <v>69.8</v>
      </c>
    </row>
    <row r="324" customFormat="false" ht="15" hidden="false" customHeight="false" outlineLevel="0" collapsed="false">
      <c r="A324" s="6" t="s">
        <v>119</v>
      </c>
      <c r="B324" s="6" t="s">
        <v>120</v>
      </c>
      <c r="C324" s="6" t="s">
        <v>69</v>
      </c>
      <c r="D324" s="6" t="n">
        <v>12.5</v>
      </c>
      <c r="E324" s="6" t="n">
        <v>39.7</v>
      </c>
      <c r="F324" s="6" t="n">
        <v>64.8</v>
      </c>
    </row>
    <row r="325" customFormat="false" ht="15" hidden="false" customHeight="false" outlineLevel="0" collapsed="false">
      <c r="A325" s="6" t="s">
        <v>119</v>
      </c>
      <c r="B325" s="6" t="s">
        <v>120</v>
      </c>
      <c r="C325" s="6" t="s">
        <v>70</v>
      </c>
      <c r="D325" s="6" t="n">
        <v>1.7</v>
      </c>
      <c r="E325" s="6" t="n">
        <v>40.4</v>
      </c>
      <c r="F325" s="6" t="n">
        <v>62.6</v>
      </c>
    </row>
    <row r="326" customFormat="false" ht="15" hidden="false" customHeight="false" outlineLevel="0" collapsed="false">
      <c r="A326" s="6" t="s">
        <v>119</v>
      </c>
      <c r="B326" s="6" t="s">
        <v>120</v>
      </c>
      <c r="C326" s="6" t="s">
        <v>71</v>
      </c>
      <c r="D326" s="6" t="n">
        <v>2</v>
      </c>
      <c r="E326" s="6" t="n">
        <v>16.2</v>
      </c>
      <c r="F326" s="6" t="n">
        <v>54.1</v>
      </c>
    </row>
    <row r="327" customFormat="false" ht="15" hidden="false" customHeight="false" outlineLevel="0" collapsed="false">
      <c r="A327" s="6" t="s">
        <v>119</v>
      </c>
      <c r="B327" s="6" t="s">
        <v>120</v>
      </c>
      <c r="C327" s="6" t="s">
        <v>72</v>
      </c>
      <c r="D327" s="6" t="n">
        <v>43.7</v>
      </c>
      <c r="E327" s="6" t="n">
        <v>47.4</v>
      </c>
      <c r="F327" s="6" t="n">
        <v>89.8</v>
      </c>
    </row>
    <row r="328" customFormat="false" ht="15" hidden="false" customHeight="false" outlineLevel="0" collapsed="false">
      <c r="A328" s="6" t="s">
        <v>119</v>
      </c>
      <c r="B328" s="6" t="s">
        <v>120</v>
      </c>
      <c r="C328" s="6" t="s">
        <v>73</v>
      </c>
      <c r="D328" s="6" t="n">
        <v>3</v>
      </c>
      <c r="E328" s="6" t="n">
        <v>48.7</v>
      </c>
      <c r="F328" s="6" t="n">
        <v>90.1</v>
      </c>
    </row>
    <row r="329" customFormat="false" ht="15" hidden="false" customHeight="false" outlineLevel="0" collapsed="false">
      <c r="A329" s="6" t="s">
        <v>119</v>
      </c>
      <c r="B329" s="6" t="s">
        <v>120</v>
      </c>
      <c r="C329" s="6" t="s">
        <v>74</v>
      </c>
      <c r="D329" s="6" t="n">
        <v>11.2</v>
      </c>
      <c r="E329" s="6" t="n">
        <v>57.9</v>
      </c>
      <c r="F329" s="6" t="n">
        <v>100.3</v>
      </c>
    </row>
    <row r="330" customFormat="false" ht="15" hidden="false" customHeight="false" outlineLevel="0" collapsed="false">
      <c r="A330" s="6" t="s">
        <v>119</v>
      </c>
      <c r="B330" s="6" t="s">
        <v>120</v>
      </c>
      <c r="C330" s="6" t="s">
        <v>75</v>
      </c>
      <c r="D330" s="6" t="n">
        <v>0.6</v>
      </c>
      <c r="E330" s="6" t="n">
        <v>14.8</v>
      </c>
      <c r="F330" s="6" t="n">
        <v>74.7</v>
      </c>
    </row>
    <row r="331" customFormat="false" ht="15" hidden="false" customHeight="false" outlineLevel="0" collapsed="false">
      <c r="A331" s="6" t="s">
        <v>119</v>
      </c>
      <c r="B331" s="6" t="s">
        <v>120</v>
      </c>
      <c r="C331" s="6" t="s">
        <v>76</v>
      </c>
      <c r="D331" s="6" t="n">
        <v>21.8</v>
      </c>
      <c r="E331" s="6" t="n">
        <v>33.6</v>
      </c>
      <c r="F331" s="6" t="n">
        <v>84</v>
      </c>
    </row>
    <row r="332" customFormat="false" ht="15" hidden="false" customHeight="false" outlineLevel="0" collapsed="false">
      <c r="A332" s="6" t="s">
        <v>119</v>
      </c>
      <c r="B332" s="6" t="s">
        <v>120</v>
      </c>
      <c r="C332" s="6" t="s">
        <v>77</v>
      </c>
      <c r="D332" s="6" t="n">
        <v>18.6</v>
      </c>
      <c r="E332" s="6" t="n">
        <v>41</v>
      </c>
      <c r="F332" s="6" t="n">
        <v>100.9</v>
      </c>
    </row>
    <row r="333" customFormat="false" ht="15" hidden="false" customHeight="false" outlineLevel="0" collapsed="false">
      <c r="A333" s="6" t="s">
        <v>119</v>
      </c>
      <c r="B333" s="6" t="s">
        <v>120</v>
      </c>
      <c r="C333" s="6" t="s">
        <v>78</v>
      </c>
      <c r="D333" s="6" t="n">
        <v>0.4</v>
      </c>
      <c r="E333" s="6" t="n">
        <v>40.8</v>
      </c>
      <c r="F333" s="6" t="n">
        <v>99.3</v>
      </c>
    </row>
    <row r="334" customFormat="false" ht="15" hidden="false" customHeight="false" outlineLevel="0" collapsed="false">
      <c r="A334" s="6" t="s">
        <v>119</v>
      </c>
      <c r="B334" s="6" t="s">
        <v>120</v>
      </c>
      <c r="C334" s="6" t="s">
        <v>79</v>
      </c>
      <c r="D334" s="6" t="n">
        <v>4.3</v>
      </c>
      <c r="E334" s="6" t="n">
        <v>23.3</v>
      </c>
      <c r="F334" s="6" t="n">
        <v>59.9</v>
      </c>
    </row>
    <row r="335" customFormat="false" ht="15" hidden="false" customHeight="false" outlineLevel="0" collapsed="false">
      <c r="A335" s="6" t="s">
        <v>119</v>
      </c>
      <c r="B335" s="6" t="s">
        <v>120</v>
      </c>
      <c r="C335" s="6" t="s">
        <v>80</v>
      </c>
      <c r="D335" s="6" t="n">
        <v>4</v>
      </c>
      <c r="E335" s="6" t="n">
        <v>8.7</v>
      </c>
      <c r="F335" s="6" t="n">
        <v>60.9</v>
      </c>
    </row>
    <row r="336" customFormat="false" ht="15" hidden="false" customHeight="false" outlineLevel="0" collapsed="false">
      <c r="A336" s="6" t="s">
        <v>119</v>
      </c>
      <c r="B336" s="6" t="s">
        <v>120</v>
      </c>
      <c r="C336" s="6" t="s">
        <v>81</v>
      </c>
      <c r="D336" s="6" t="n">
        <v>14.7</v>
      </c>
      <c r="E336" s="6" t="n">
        <v>23</v>
      </c>
      <c r="F336" s="6" t="n">
        <v>64.4</v>
      </c>
    </row>
    <row r="337" customFormat="false" ht="15" hidden="false" customHeight="false" outlineLevel="0" collapsed="false">
      <c r="A337" s="6" t="s">
        <v>119</v>
      </c>
      <c r="B337" s="6" t="s">
        <v>120</v>
      </c>
      <c r="C337" s="6" t="s">
        <v>82</v>
      </c>
      <c r="D337" s="6" t="n">
        <v>13.5</v>
      </c>
      <c r="E337" s="6" t="n">
        <v>32.2</v>
      </c>
      <c r="F337" s="6" t="n">
        <v>77.3</v>
      </c>
    </row>
    <row r="338" customFormat="false" ht="15" hidden="false" customHeight="false" outlineLevel="0" collapsed="false">
      <c r="A338" s="6" t="s">
        <v>119</v>
      </c>
      <c r="B338" s="6" t="s">
        <v>120</v>
      </c>
      <c r="C338" s="6" t="s">
        <v>83</v>
      </c>
      <c r="D338" s="6" t="n">
        <v>14.7</v>
      </c>
      <c r="E338" s="6" t="n">
        <v>42.9</v>
      </c>
      <c r="F338" s="6" t="n">
        <v>70.2</v>
      </c>
    </row>
    <row r="339" customFormat="false" ht="15" hidden="false" customHeight="false" outlineLevel="0" collapsed="false">
      <c r="A339" s="6" t="s">
        <v>119</v>
      </c>
      <c r="B339" s="6" t="s">
        <v>120</v>
      </c>
      <c r="C339" s="6" t="s">
        <v>84</v>
      </c>
      <c r="D339" s="6" t="n">
        <v>11</v>
      </c>
      <c r="E339" s="6" t="n">
        <v>39.2</v>
      </c>
      <c r="F339" s="6" t="n">
        <v>62.6</v>
      </c>
    </row>
    <row r="340" customFormat="false" ht="15" hidden="false" customHeight="false" outlineLevel="0" collapsed="false">
      <c r="A340" s="6" t="s">
        <v>119</v>
      </c>
      <c r="B340" s="6" t="s">
        <v>120</v>
      </c>
      <c r="C340" s="6" t="s">
        <v>85</v>
      </c>
      <c r="D340" s="6" t="n">
        <v>13.5</v>
      </c>
      <c r="E340" s="6" t="n">
        <v>39.2</v>
      </c>
      <c r="F340" s="6" t="n">
        <v>75.7</v>
      </c>
    </row>
    <row r="341" customFormat="false" ht="15" hidden="false" customHeight="false" outlineLevel="0" collapsed="false">
      <c r="A341" s="6" t="s">
        <v>119</v>
      </c>
      <c r="B341" s="6" t="s">
        <v>120</v>
      </c>
      <c r="C341" s="6" t="s">
        <v>86</v>
      </c>
      <c r="D341" s="6" t="n">
        <v>1.4</v>
      </c>
      <c r="E341" s="6" t="n">
        <v>25.9</v>
      </c>
      <c r="F341" s="6" t="n">
        <v>72.8</v>
      </c>
    </row>
    <row r="342" customFormat="false" ht="15" hidden="false" customHeight="false" outlineLevel="0" collapsed="false">
      <c r="A342" s="6" t="s">
        <v>119</v>
      </c>
      <c r="B342" s="6" t="s">
        <v>120</v>
      </c>
      <c r="C342" s="6" t="s">
        <v>87</v>
      </c>
      <c r="D342" s="6" t="n">
        <v>11.1</v>
      </c>
      <c r="E342" s="6" t="n">
        <v>26</v>
      </c>
      <c r="F342" s="6" t="n">
        <v>79.9</v>
      </c>
    </row>
    <row r="343" customFormat="false" ht="15" hidden="false" customHeight="false" outlineLevel="0" collapsed="false">
      <c r="A343" s="6" t="s">
        <v>119</v>
      </c>
      <c r="B343" s="6" t="s">
        <v>120</v>
      </c>
      <c r="C343" s="6" t="s">
        <v>88</v>
      </c>
      <c r="D343" s="6" t="n">
        <v>30.4</v>
      </c>
      <c r="E343" s="6" t="n">
        <v>42.9</v>
      </c>
      <c r="F343" s="6" t="n">
        <v>95.6</v>
      </c>
    </row>
    <row r="344" customFormat="false" ht="15" hidden="false" customHeight="false" outlineLevel="0" collapsed="false">
      <c r="A344" s="6" t="s">
        <v>119</v>
      </c>
      <c r="B344" s="6" t="s">
        <v>120</v>
      </c>
      <c r="C344" s="6" t="s">
        <v>89</v>
      </c>
      <c r="D344" s="6" t="n">
        <v>9</v>
      </c>
      <c r="E344" s="6" t="n">
        <v>50.5</v>
      </c>
      <c r="F344" s="6" t="n">
        <v>91.1</v>
      </c>
    </row>
    <row r="345" customFormat="false" ht="15" hidden="false" customHeight="false" outlineLevel="0" collapsed="false">
      <c r="A345" s="6" t="s">
        <v>119</v>
      </c>
      <c r="B345" s="6" t="s">
        <v>120</v>
      </c>
      <c r="C345" s="6" t="s">
        <v>90</v>
      </c>
      <c r="D345" s="6" t="n">
        <v>4.1</v>
      </c>
      <c r="E345" s="6" t="n">
        <v>43.5</v>
      </c>
      <c r="F345" s="6" t="n">
        <v>80.5</v>
      </c>
    </row>
    <row r="346" customFormat="false" ht="15" hidden="false" customHeight="false" outlineLevel="0" collapsed="false">
      <c r="A346" s="6" t="s">
        <v>119</v>
      </c>
      <c r="B346" s="6" t="s">
        <v>120</v>
      </c>
      <c r="C346" s="6" t="s">
        <v>91</v>
      </c>
      <c r="D346" s="6" t="n">
        <v>4.6</v>
      </c>
      <c r="E346" s="6" t="n">
        <v>17.7</v>
      </c>
      <c r="F346" s="6" t="n">
        <v>74.1</v>
      </c>
    </row>
    <row r="347" customFormat="false" ht="15" hidden="false" customHeight="false" outlineLevel="0" collapsed="false">
      <c r="A347" s="6" t="s">
        <v>119</v>
      </c>
      <c r="B347" s="6" t="s">
        <v>120</v>
      </c>
      <c r="C347" s="6" t="s">
        <v>92</v>
      </c>
      <c r="D347" s="6" t="n">
        <v>28.5</v>
      </c>
      <c r="E347" s="6" t="n">
        <v>37.2</v>
      </c>
      <c r="F347" s="6" t="n">
        <v>89.1</v>
      </c>
    </row>
    <row r="348" customFormat="false" ht="15" hidden="false" customHeight="false" outlineLevel="0" collapsed="false">
      <c r="A348" s="6" t="s">
        <v>119</v>
      </c>
      <c r="B348" s="6" t="s">
        <v>120</v>
      </c>
      <c r="C348" s="6" t="s">
        <v>93</v>
      </c>
      <c r="D348" s="6" t="n">
        <v>60.7</v>
      </c>
      <c r="E348" s="6" t="n">
        <v>93.8</v>
      </c>
      <c r="F348" s="6" t="n">
        <v>148.4</v>
      </c>
    </row>
    <row r="349" customFormat="false" ht="15" hidden="false" customHeight="false" outlineLevel="0" collapsed="false">
      <c r="A349" s="6" t="s">
        <v>119</v>
      </c>
      <c r="B349" s="6" t="s">
        <v>120</v>
      </c>
      <c r="C349" s="6" t="s">
        <v>94</v>
      </c>
      <c r="D349" s="6" t="n">
        <v>0.2</v>
      </c>
      <c r="E349" s="6" t="n">
        <v>89.4</v>
      </c>
      <c r="F349" s="6" t="n">
        <v>137.5</v>
      </c>
    </row>
    <row r="350" customFormat="false" ht="15" hidden="false" customHeight="false" outlineLevel="0" collapsed="false">
      <c r="A350" s="6" t="s">
        <v>119</v>
      </c>
      <c r="B350" s="6" t="s">
        <v>120</v>
      </c>
      <c r="C350" s="6" t="s">
        <v>95</v>
      </c>
      <c r="D350" s="6" t="n">
        <v>21.6</v>
      </c>
      <c r="E350" s="6" t="n">
        <v>82.5</v>
      </c>
      <c r="F350" s="6" t="n">
        <v>128.7</v>
      </c>
    </row>
    <row r="351" customFormat="false" ht="15" hidden="false" customHeight="false" outlineLevel="0" collapsed="false">
      <c r="A351" s="6" t="s">
        <v>119</v>
      </c>
      <c r="B351" s="6" t="s">
        <v>120</v>
      </c>
      <c r="C351" s="6" t="s">
        <v>96</v>
      </c>
      <c r="D351" s="6" t="n">
        <v>1.9</v>
      </c>
      <c r="E351" s="6" t="n">
        <v>23.7</v>
      </c>
      <c r="F351" s="6" t="n">
        <v>121.6</v>
      </c>
    </row>
    <row r="352" customFormat="false" ht="15" hidden="false" customHeight="false" outlineLevel="0" collapsed="false">
      <c r="A352" s="6" t="s">
        <v>119</v>
      </c>
      <c r="B352" s="6" t="s">
        <v>120</v>
      </c>
      <c r="C352" s="6" t="s">
        <v>97</v>
      </c>
      <c r="D352" s="6" t="n">
        <v>14.5</v>
      </c>
      <c r="E352" s="6" t="n">
        <v>38</v>
      </c>
      <c r="F352" s="6" t="n">
        <v>132</v>
      </c>
    </row>
    <row r="353" customFormat="false" ht="15" hidden="false" customHeight="false" outlineLevel="0" collapsed="false">
      <c r="A353" s="6" t="s">
        <v>119</v>
      </c>
      <c r="B353" s="6" t="s">
        <v>120</v>
      </c>
      <c r="C353" s="6" t="s">
        <v>98</v>
      </c>
      <c r="D353" s="6" t="n">
        <v>10.4</v>
      </c>
      <c r="E353" s="6" t="n">
        <v>26.8</v>
      </c>
      <c r="F353" s="6" t="n">
        <v>137.8</v>
      </c>
    </row>
    <row r="354" customFormat="false" ht="15" hidden="false" customHeight="false" outlineLevel="0" collapsed="false">
      <c r="A354" s="6" t="s">
        <v>119</v>
      </c>
      <c r="B354" s="6" t="s">
        <v>120</v>
      </c>
      <c r="C354" s="6" t="s">
        <v>99</v>
      </c>
      <c r="D354" s="6" t="n">
        <v>7.4</v>
      </c>
      <c r="E354" s="6" t="n">
        <v>32.3</v>
      </c>
      <c r="F354" s="6" t="n">
        <v>116.7</v>
      </c>
    </row>
    <row r="355" customFormat="false" ht="15" hidden="false" customHeight="false" outlineLevel="0" collapsed="false">
      <c r="A355" s="6" t="s">
        <v>119</v>
      </c>
      <c r="B355" s="6" t="s">
        <v>120</v>
      </c>
      <c r="C355" s="6" t="s">
        <v>100</v>
      </c>
      <c r="D355" s="6" t="n">
        <v>0.5</v>
      </c>
      <c r="E355" s="6" t="n">
        <v>18.3</v>
      </c>
      <c r="F355" s="6" t="n">
        <v>56.5</v>
      </c>
    </row>
    <row r="356" customFormat="false" ht="15" hidden="false" customHeight="false" outlineLevel="0" collapsed="false">
      <c r="A356" s="6" t="s">
        <v>119</v>
      </c>
      <c r="B356" s="6" t="s">
        <v>120</v>
      </c>
      <c r="C356" s="6" t="s">
        <v>101</v>
      </c>
      <c r="D356" s="6" t="n">
        <v>24.8</v>
      </c>
      <c r="E356" s="6" t="n">
        <v>32.7</v>
      </c>
      <c r="F356" s="6" t="n">
        <v>81.1</v>
      </c>
    </row>
    <row r="357" customFormat="false" ht="15" hidden="false" customHeight="false" outlineLevel="0" collapsed="false">
      <c r="A357" s="6" t="s">
        <v>119</v>
      </c>
      <c r="B357" s="6" t="s">
        <v>120</v>
      </c>
      <c r="C357" s="6" t="s">
        <v>102</v>
      </c>
      <c r="D357" s="6" t="n">
        <v>7.1</v>
      </c>
      <c r="E357" s="6" t="n">
        <v>32.4</v>
      </c>
      <c r="F357" s="6" t="n">
        <v>66.6</v>
      </c>
    </row>
    <row r="358" customFormat="false" ht="15" hidden="false" customHeight="false" outlineLevel="0" collapsed="false">
      <c r="A358" s="6" t="s">
        <v>119</v>
      </c>
      <c r="B358" s="6" t="s">
        <v>120</v>
      </c>
      <c r="C358" s="6" t="s">
        <v>103</v>
      </c>
      <c r="D358" s="6" t="n">
        <v>1.9</v>
      </c>
      <c r="E358" s="6" t="n">
        <v>33.8</v>
      </c>
      <c r="F358" s="6" t="n">
        <v>66.6</v>
      </c>
    </row>
    <row r="359" customFormat="false" ht="15" hidden="false" customHeight="false" outlineLevel="0" collapsed="false">
      <c r="A359" s="6" t="s">
        <v>119</v>
      </c>
      <c r="B359" s="6" t="s">
        <v>120</v>
      </c>
      <c r="C359" s="6" t="s">
        <v>104</v>
      </c>
      <c r="D359" s="6" t="n">
        <v>12</v>
      </c>
      <c r="E359" s="6" t="n">
        <v>21</v>
      </c>
      <c r="F359" s="6" t="n">
        <v>64.1</v>
      </c>
    </row>
    <row r="360" customFormat="false" ht="15" hidden="false" customHeight="false" outlineLevel="0" collapsed="false">
      <c r="A360" s="6" t="s">
        <v>119</v>
      </c>
      <c r="B360" s="6" t="s">
        <v>120</v>
      </c>
      <c r="C360" s="6" t="s">
        <v>105</v>
      </c>
      <c r="D360" s="6" t="n">
        <v>10.4</v>
      </c>
      <c r="E360" s="6" t="n">
        <v>24.3</v>
      </c>
      <c r="F360" s="6" t="n">
        <v>64.1</v>
      </c>
    </row>
    <row r="361" customFormat="false" ht="15" hidden="false" customHeight="false" outlineLevel="0" collapsed="false">
      <c r="A361" s="6" t="s">
        <v>119</v>
      </c>
      <c r="B361" s="6" t="s">
        <v>120</v>
      </c>
      <c r="C361" s="6" t="s">
        <v>106</v>
      </c>
      <c r="D361" s="6" t="n">
        <v>6</v>
      </c>
      <c r="E361" s="6" t="n">
        <v>28.4</v>
      </c>
      <c r="F361" s="6" t="n">
        <v>62.7</v>
      </c>
    </row>
    <row r="362" customFormat="false" ht="15" hidden="false" customHeight="false" outlineLevel="0" collapsed="false">
      <c r="A362" s="6" t="s">
        <v>119</v>
      </c>
      <c r="B362" s="6" t="s">
        <v>120</v>
      </c>
      <c r="C362" s="6" t="s">
        <v>107</v>
      </c>
      <c r="D362" s="6" t="n">
        <v>8.5</v>
      </c>
      <c r="E362" s="6" t="n">
        <v>24.9</v>
      </c>
      <c r="F362" s="6" t="n">
        <v>70.7</v>
      </c>
    </row>
    <row r="363" customFormat="false" ht="15" hidden="false" customHeight="false" outlineLevel="0" collapsed="false">
      <c r="A363" s="6" t="s">
        <v>119</v>
      </c>
      <c r="B363" s="6" t="s">
        <v>120</v>
      </c>
      <c r="C363" s="6" t="s">
        <v>108</v>
      </c>
      <c r="D363" s="6" t="n">
        <v>5.9</v>
      </c>
      <c r="E363" s="6" t="n">
        <v>20.4</v>
      </c>
      <c r="F363" s="6" t="n">
        <v>51.8</v>
      </c>
    </row>
    <row r="364" customFormat="false" ht="15" hidden="false" customHeight="false" outlineLevel="0" collapsed="false">
      <c r="A364" s="6" t="s">
        <v>119</v>
      </c>
      <c r="B364" s="6" t="s">
        <v>120</v>
      </c>
      <c r="C364" s="6" t="s">
        <v>109</v>
      </c>
      <c r="D364" s="6" t="n">
        <v>0.5</v>
      </c>
      <c r="E364" s="6" t="n">
        <v>14.9</v>
      </c>
      <c r="F364" s="6" t="n">
        <v>45.2</v>
      </c>
    </row>
    <row r="365" customFormat="false" ht="15" hidden="false" customHeight="false" outlineLevel="0" collapsed="false">
      <c r="A365" s="6" t="s">
        <v>119</v>
      </c>
      <c r="B365" s="6" t="s">
        <v>120</v>
      </c>
      <c r="C365" s="6" t="s">
        <v>110</v>
      </c>
      <c r="D365" s="6" t="n">
        <v>14</v>
      </c>
      <c r="E365" s="6" t="n">
        <v>20.4</v>
      </c>
      <c r="F365" s="6" t="n">
        <v>57.3</v>
      </c>
    </row>
    <row r="366" customFormat="false" ht="15" hidden="false" customHeight="false" outlineLevel="0" collapsed="false">
      <c r="A366" s="6" t="s">
        <v>119</v>
      </c>
      <c r="B366" s="6" t="s">
        <v>120</v>
      </c>
      <c r="C366" s="6" t="s">
        <v>111</v>
      </c>
      <c r="D366" s="6" t="n">
        <v>11.5</v>
      </c>
      <c r="E366" s="6" t="n">
        <v>26</v>
      </c>
      <c r="F366" s="6" t="n">
        <v>56.8</v>
      </c>
    </row>
    <row r="367" customFormat="false" ht="15" hidden="false" customHeight="false" outlineLevel="0" collapsed="false">
      <c r="A367" s="6" t="s">
        <v>119</v>
      </c>
      <c r="B367" s="6" t="s">
        <v>120</v>
      </c>
      <c r="C367" s="6" t="s">
        <v>112</v>
      </c>
      <c r="D367" s="6" t="n">
        <v>1.3</v>
      </c>
      <c r="E367" s="6" t="n">
        <v>26.8</v>
      </c>
      <c r="F367" s="6" t="n">
        <v>47.7</v>
      </c>
    </row>
    <row r="368" customFormat="false" ht="15" hidden="false" customHeight="false" outlineLevel="0" collapsed="false">
      <c r="A368" s="6" t="s">
        <v>119</v>
      </c>
      <c r="B368" s="6" t="s">
        <v>120</v>
      </c>
      <c r="C368" s="6" t="s">
        <v>113</v>
      </c>
      <c r="D368" s="6" t="n">
        <v>12.3</v>
      </c>
      <c r="E368" s="6" t="n">
        <v>25.1</v>
      </c>
      <c r="F368" s="6" t="n">
        <v>54</v>
      </c>
    </row>
    <row r="369" customFormat="false" ht="15" hidden="false" customHeight="false" outlineLevel="0" collapsed="false">
      <c r="A369" s="6" t="s">
        <v>119</v>
      </c>
      <c r="B369" s="6" t="s">
        <v>120</v>
      </c>
      <c r="C369" s="6" t="s">
        <v>114</v>
      </c>
      <c r="D369" s="6" t="n">
        <v>12.8</v>
      </c>
      <c r="E369" s="6" t="n">
        <v>26.4</v>
      </c>
      <c r="F369" s="6" t="n">
        <v>58.3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0"/>
    <col collapsed="false" customWidth="true" hidden="false" outlineLevel="0" max="4" min="4" style="0" width="12"/>
    <col collapsed="false" customWidth="true" hidden="false" outlineLevel="0" max="5" min="5" style="0" width="19"/>
    <col collapsed="false" customWidth="true" hidden="false" outlineLevel="0" max="6" min="6" style="0" width="13"/>
    <col collapsed="false" customWidth="true" hidden="false" outlineLevel="0" max="7" min="7" style="0" width="10"/>
  </cols>
  <sheetData>
    <row r="1" customFormat="false" ht="27.75" hidden="false" customHeight="true" outlineLevel="0" collapsed="false">
      <c r="A1" s="5" t="s">
        <v>121</v>
      </c>
      <c r="B1" s="5" t="s">
        <v>16</v>
      </c>
      <c r="C1" s="5" t="s">
        <v>122</v>
      </c>
      <c r="D1" s="5" t="s">
        <v>17</v>
      </c>
      <c r="E1" s="5" t="s">
        <v>123</v>
      </c>
      <c r="F1" s="5" t="s">
        <v>124</v>
      </c>
      <c r="G1" s="5" t="s">
        <v>125</v>
      </c>
    </row>
    <row r="2" customFormat="false" ht="15" hidden="false" customHeight="false" outlineLevel="0" collapsed="false">
      <c r="A2" s="6" t="s">
        <v>126</v>
      </c>
      <c r="B2" s="6" t="s">
        <v>22</v>
      </c>
      <c r="C2" s="6" t="n">
        <v>30</v>
      </c>
      <c r="D2" s="6" t="s">
        <v>23</v>
      </c>
      <c r="E2" s="6" t="n">
        <v>26</v>
      </c>
      <c r="F2" s="6" t="n">
        <v>98.9</v>
      </c>
      <c r="G2" s="6" t="s">
        <v>127</v>
      </c>
    </row>
    <row r="3" customFormat="false" ht="15" hidden="false" customHeight="false" outlineLevel="0" collapsed="false">
      <c r="A3" s="6" t="s">
        <v>126</v>
      </c>
      <c r="B3" s="6" t="s">
        <v>22</v>
      </c>
      <c r="C3" s="6" t="n">
        <v>30</v>
      </c>
      <c r="D3" s="6" t="s">
        <v>24</v>
      </c>
      <c r="E3" s="6" t="n">
        <v>33.4</v>
      </c>
      <c r="F3" s="6" t="n">
        <v>100</v>
      </c>
      <c r="G3" s="6" t="s">
        <v>127</v>
      </c>
    </row>
    <row r="4" customFormat="false" ht="15" hidden="false" customHeight="false" outlineLevel="0" collapsed="false">
      <c r="A4" s="6" t="s">
        <v>126</v>
      </c>
      <c r="B4" s="6" t="s">
        <v>22</v>
      </c>
      <c r="C4" s="6" t="n">
        <v>30</v>
      </c>
      <c r="D4" s="6" t="s">
        <v>25</v>
      </c>
      <c r="E4" s="6" t="n">
        <v>50.2</v>
      </c>
      <c r="F4" s="6" t="n">
        <v>99.7</v>
      </c>
      <c r="G4" s="6" t="s">
        <v>127</v>
      </c>
    </row>
    <row r="5" customFormat="false" ht="15" hidden="false" customHeight="false" outlineLevel="0" collapsed="false">
      <c r="A5" s="6" t="s">
        <v>126</v>
      </c>
      <c r="B5" s="6" t="s">
        <v>22</v>
      </c>
      <c r="C5" s="6" t="n">
        <v>30</v>
      </c>
      <c r="D5" s="6" t="s">
        <v>26</v>
      </c>
      <c r="E5" s="6" t="n">
        <v>50.7</v>
      </c>
      <c r="F5" s="6" t="n">
        <v>98.2</v>
      </c>
      <c r="G5" s="6" t="s">
        <v>127</v>
      </c>
    </row>
    <row r="6" customFormat="false" ht="15" hidden="false" customHeight="false" outlineLevel="0" collapsed="false">
      <c r="A6" s="6" t="s">
        <v>126</v>
      </c>
      <c r="B6" s="6" t="s">
        <v>22</v>
      </c>
      <c r="C6" s="6" t="n">
        <v>30</v>
      </c>
      <c r="D6" s="6" t="s">
        <v>27</v>
      </c>
      <c r="E6" s="6" t="n">
        <v>52.6</v>
      </c>
      <c r="F6" s="6" t="n">
        <v>99.2</v>
      </c>
      <c r="G6" s="6" t="s">
        <v>127</v>
      </c>
    </row>
    <row r="7" customFormat="false" ht="15" hidden="false" customHeight="false" outlineLevel="0" collapsed="false">
      <c r="A7" s="6" t="s">
        <v>126</v>
      </c>
      <c r="B7" s="6" t="s">
        <v>22</v>
      </c>
      <c r="C7" s="6" t="n">
        <v>30</v>
      </c>
      <c r="D7" s="6" t="s">
        <v>28</v>
      </c>
      <c r="E7" s="6" t="n">
        <v>36.5</v>
      </c>
      <c r="F7" s="6" t="n">
        <v>99</v>
      </c>
      <c r="G7" s="6" t="s">
        <v>127</v>
      </c>
    </row>
    <row r="8" customFormat="false" ht="15" hidden="false" customHeight="false" outlineLevel="0" collapsed="false">
      <c r="A8" s="6" t="s">
        <v>126</v>
      </c>
      <c r="B8" s="6" t="s">
        <v>22</v>
      </c>
      <c r="C8" s="6" t="n">
        <v>30</v>
      </c>
      <c r="D8" s="6" t="s">
        <v>29</v>
      </c>
      <c r="E8" s="6" t="n">
        <v>38.9</v>
      </c>
      <c r="F8" s="6" t="n">
        <v>100</v>
      </c>
      <c r="G8" s="6" t="s">
        <v>127</v>
      </c>
    </row>
    <row r="9" customFormat="false" ht="15" hidden="false" customHeight="false" outlineLevel="0" collapsed="false">
      <c r="A9" s="6" t="s">
        <v>126</v>
      </c>
      <c r="B9" s="6" t="s">
        <v>22</v>
      </c>
      <c r="C9" s="6" t="n">
        <v>30</v>
      </c>
      <c r="D9" s="6" t="s">
        <v>30</v>
      </c>
      <c r="E9" s="6" t="n">
        <v>36.9</v>
      </c>
      <c r="F9" s="6" t="n">
        <v>99.6</v>
      </c>
      <c r="G9" s="6" t="s">
        <v>127</v>
      </c>
    </row>
    <row r="10" customFormat="false" ht="15" hidden="false" customHeight="false" outlineLevel="0" collapsed="false">
      <c r="A10" s="6" t="s">
        <v>126</v>
      </c>
      <c r="B10" s="6" t="s">
        <v>22</v>
      </c>
      <c r="C10" s="6" t="n">
        <v>30</v>
      </c>
      <c r="D10" s="6" t="s">
        <v>31</v>
      </c>
      <c r="E10" s="6" t="n">
        <v>40.5</v>
      </c>
      <c r="F10" s="6" t="n">
        <v>98.6</v>
      </c>
      <c r="G10" s="6" t="s">
        <v>127</v>
      </c>
    </row>
    <row r="11" customFormat="false" ht="15" hidden="false" customHeight="false" outlineLevel="0" collapsed="false">
      <c r="A11" s="6" t="s">
        <v>126</v>
      </c>
      <c r="B11" s="6" t="s">
        <v>22</v>
      </c>
      <c r="C11" s="6" t="n">
        <v>30</v>
      </c>
      <c r="D11" s="6" t="s">
        <v>32</v>
      </c>
      <c r="E11" s="6" t="n">
        <v>39.4</v>
      </c>
      <c r="F11" s="6" t="n">
        <v>98.6</v>
      </c>
      <c r="G11" s="6" t="s">
        <v>127</v>
      </c>
    </row>
    <row r="12" customFormat="false" ht="15" hidden="false" customHeight="false" outlineLevel="0" collapsed="false">
      <c r="A12" s="6" t="s">
        <v>126</v>
      </c>
      <c r="B12" s="6" t="s">
        <v>22</v>
      </c>
      <c r="C12" s="6" t="n">
        <v>30</v>
      </c>
      <c r="D12" s="6" t="s">
        <v>33</v>
      </c>
      <c r="E12" s="6" t="n">
        <v>40.4</v>
      </c>
      <c r="F12" s="6" t="n">
        <v>98.3</v>
      </c>
      <c r="G12" s="6" t="s">
        <v>127</v>
      </c>
    </row>
    <row r="13" customFormat="false" ht="15" hidden="false" customHeight="false" outlineLevel="0" collapsed="false">
      <c r="A13" s="6" t="s">
        <v>126</v>
      </c>
      <c r="B13" s="6" t="s">
        <v>22</v>
      </c>
      <c r="C13" s="6" t="n">
        <v>30</v>
      </c>
      <c r="D13" s="6" t="s">
        <v>34</v>
      </c>
      <c r="E13" s="6" t="n">
        <v>40.1</v>
      </c>
      <c r="F13" s="6" t="n">
        <v>97.8</v>
      </c>
      <c r="G13" s="6" t="s">
        <v>127</v>
      </c>
    </row>
    <row r="14" customFormat="false" ht="15" hidden="false" customHeight="false" outlineLevel="0" collapsed="false">
      <c r="A14" s="6" t="s">
        <v>126</v>
      </c>
      <c r="B14" s="6" t="s">
        <v>22</v>
      </c>
      <c r="C14" s="6" t="n">
        <v>30</v>
      </c>
      <c r="D14" s="6" t="s">
        <v>35</v>
      </c>
      <c r="E14" s="6" t="n">
        <v>43.4</v>
      </c>
      <c r="F14" s="6" t="n">
        <v>96.8</v>
      </c>
      <c r="G14" s="6" t="s">
        <v>127</v>
      </c>
    </row>
    <row r="15" customFormat="false" ht="15" hidden="false" customHeight="false" outlineLevel="0" collapsed="false">
      <c r="A15" s="6" t="s">
        <v>126</v>
      </c>
      <c r="B15" s="6" t="s">
        <v>22</v>
      </c>
      <c r="C15" s="6" t="n">
        <v>30</v>
      </c>
      <c r="D15" s="6" t="s">
        <v>36</v>
      </c>
      <c r="E15" s="6" t="n">
        <v>35.6</v>
      </c>
      <c r="F15" s="6" t="n">
        <v>97.5</v>
      </c>
      <c r="G15" s="6" t="s">
        <v>127</v>
      </c>
    </row>
    <row r="16" customFormat="false" ht="15" hidden="false" customHeight="false" outlineLevel="0" collapsed="false">
      <c r="A16" s="6" t="s">
        <v>126</v>
      </c>
      <c r="B16" s="6" t="s">
        <v>22</v>
      </c>
      <c r="C16" s="6" t="n">
        <v>30</v>
      </c>
      <c r="D16" s="6" t="s">
        <v>37</v>
      </c>
      <c r="E16" s="6" t="n">
        <v>33.6</v>
      </c>
      <c r="F16" s="6" t="n">
        <v>96.8</v>
      </c>
      <c r="G16" s="6" t="s">
        <v>127</v>
      </c>
    </row>
    <row r="17" customFormat="false" ht="15" hidden="false" customHeight="false" outlineLevel="0" collapsed="false">
      <c r="A17" s="6" t="s">
        <v>126</v>
      </c>
      <c r="B17" s="6" t="s">
        <v>22</v>
      </c>
      <c r="C17" s="6" t="n">
        <v>30</v>
      </c>
      <c r="D17" s="6" t="s">
        <v>38</v>
      </c>
      <c r="E17" s="6" t="n">
        <v>34.2</v>
      </c>
      <c r="F17" s="6" t="n">
        <v>96.1</v>
      </c>
      <c r="G17" s="6" t="s">
        <v>127</v>
      </c>
    </row>
    <row r="18" customFormat="false" ht="15" hidden="false" customHeight="false" outlineLevel="0" collapsed="false">
      <c r="A18" s="6" t="s">
        <v>126</v>
      </c>
      <c r="B18" s="6" t="s">
        <v>22</v>
      </c>
      <c r="C18" s="6" t="n">
        <v>30</v>
      </c>
      <c r="D18" s="6" t="s">
        <v>39</v>
      </c>
      <c r="E18" s="6" t="n">
        <v>33</v>
      </c>
      <c r="F18" s="6" t="n">
        <v>97.7</v>
      </c>
      <c r="G18" s="6" t="s">
        <v>127</v>
      </c>
    </row>
    <row r="19" customFormat="false" ht="15" hidden="false" customHeight="false" outlineLevel="0" collapsed="false">
      <c r="A19" s="6" t="s">
        <v>126</v>
      </c>
      <c r="B19" s="6" t="s">
        <v>22</v>
      </c>
      <c r="C19" s="6" t="n">
        <v>30</v>
      </c>
      <c r="D19" s="6" t="s">
        <v>40</v>
      </c>
      <c r="E19" s="6" t="n">
        <v>34.3</v>
      </c>
      <c r="F19" s="6" t="n">
        <v>97.4</v>
      </c>
      <c r="G19" s="6" t="s">
        <v>127</v>
      </c>
    </row>
    <row r="20" customFormat="false" ht="15" hidden="false" customHeight="false" outlineLevel="0" collapsed="false">
      <c r="A20" s="6" t="s">
        <v>126</v>
      </c>
      <c r="B20" s="6" t="s">
        <v>22</v>
      </c>
      <c r="C20" s="6" t="n">
        <v>30</v>
      </c>
      <c r="D20" s="6" t="s">
        <v>41</v>
      </c>
      <c r="E20" s="6" t="n">
        <v>33</v>
      </c>
      <c r="F20" s="6" t="n">
        <v>95</v>
      </c>
      <c r="G20" s="6" t="s">
        <v>127</v>
      </c>
    </row>
    <row r="21" customFormat="false" ht="15" hidden="false" customHeight="false" outlineLevel="0" collapsed="false">
      <c r="A21" s="6" t="s">
        <v>126</v>
      </c>
      <c r="B21" s="6" t="s">
        <v>22</v>
      </c>
      <c r="C21" s="6" t="n">
        <v>30</v>
      </c>
      <c r="D21" s="6" t="s">
        <v>42</v>
      </c>
      <c r="E21" s="6" t="n">
        <v>29.4</v>
      </c>
      <c r="F21" s="6" t="n">
        <v>96.5</v>
      </c>
      <c r="G21" s="6" t="s">
        <v>127</v>
      </c>
    </row>
    <row r="22" customFormat="false" ht="15" hidden="false" customHeight="false" outlineLevel="0" collapsed="false">
      <c r="A22" s="6" t="s">
        <v>126</v>
      </c>
      <c r="B22" s="6" t="s">
        <v>22</v>
      </c>
      <c r="C22" s="6" t="n">
        <v>30</v>
      </c>
      <c r="D22" s="6" t="s">
        <v>43</v>
      </c>
      <c r="E22" s="6" t="n">
        <v>31.2</v>
      </c>
      <c r="F22" s="6" t="n">
        <v>97.4</v>
      </c>
      <c r="G22" s="6" t="s">
        <v>127</v>
      </c>
    </row>
    <row r="23" customFormat="false" ht="15" hidden="false" customHeight="false" outlineLevel="0" collapsed="false">
      <c r="A23" s="6" t="s">
        <v>126</v>
      </c>
      <c r="B23" s="6" t="s">
        <v>22</v>
      </c>
      <c r="C23" s="6" t="n">
        <v>30</v>
      </c>
      <c r="D23" s="6" t="s">
        <v>44</v>
      </c>
      <c r="E23" s="6" t="n">
        <v>40.1</v>
      </c>
      <c r="F23" s="6" t="n">
        <v>97.3</v>
      </c>
      <c r="G23" s="6" t="s">
        <v>127</v>
      </c>
    </row>
    <row r="24" customFormat="false" ht="15" hidden="false" customHeight="false" outlineLevel="0" collapsed="false">
      <c r="A24" s="6" t="s">
        <v>126</v>
      </c>
      <c r="B24" s="6" t="s">
        <v>22</v>
      </c>
      <c r="C24" s="6" t="n">
        <v>30</v>
      </c>
      <c r="D24" s="6" t="s">
        <v>45</v>
      </c>
      <c r="E24" s="6" t="n">
        <v>44.6</v>
      </c>
      <c r="F24" s="6" t="n">
        <v>97.1</v>
      </c>
      <c r="G24" s="6" t="s">
        <v>127</v>
      </c>
    </row>
    <row r="25" customFormat="false" ht="15" hidden="false" customHeight="false" outlineLevel="0" collapsed="false">
      <c r="A25" s="6" t="s">
        <v>126</v>
      </c>
      <c r="B25" s="6" t="s">
        <v>22</v>
      </c>
      <c r="C25" s="6" t="n">
        <v>30</v>
      </c>
      <c r="D25" s="6" t="s">
        <v>46</v>
      </c>
      <c r="E25" s="6" t="n">
        <v>50.1</v>
      </c>
      <c r="F25" s="6" t="n">
        <v>95.9</v>
      </c>
      <c r="G25" s="6" t="s">
        <v>127</v>
      </c>
    </row>
    <row r="26" customFormat="false" ht="15" hidden="false" customHeight="false" outlineLevel="0" collapsed="false">
      <c r="A26" s="6" t="s">
        <v>126</v>
      </c>
      <c r="B26" s="6" t="s">
        <v>22</v>
      </c>
      <c r="C26" s="6" t="n">
        <v>30</v>
      </c>
      <c r="D26" s="6" t="s">
        <v>47</v>
      </c>
      <c r="E26" s="6" t="n">
        <v>42.5</v>
      </c>
      <c r="F26" s="6" t="n">
        <v>94.9</v>
      </c>
      <c r="G26" s="6" t="s">
        <v>127</v>
      </c>
    </row>
    <row r="27" customFormat="false" ht="15" hidden="false" customHeight="false" outlineLevel="0" collapsed="false">
      <c r="A27" s="6" t="s">
        <v>126</v>
      </c>
      <c r="B27" s="6" t="s">
        <v>22</v>
      </c>
      <c r="C27" s="6" t="n">
        <v>30</v>
      </c>
      <c r="D27" s="6" t="s">
        <v>48</v>
      </c>
      <c r="E27" s="6" t="n">
        <v>33.5</v>
      </c>
      <c r="F27" s="6" t="n">
        <v>94.4</v>
      </c>
      <c r="G27" s="6" t="s">
        <v>127</v>
      </c>
    </row>
    <row r="28" customFormat="false" ht="15" hidden="false" customHeight="false" outlineLevel="0" collapsed="false">
      <c r="A28" s="6" t="s">
        <v>126</v>
      </c>
      <c r="B28" s="6" t="s">
        <v>22</v>
      </c>
      <c r="C28" s="6" t="n">
        <v>30</v>
      </c>
      <c r="D28" s="6" t="s">
        <v>49</v>
      </c>
      <c r="E28" s="6" t="n">
        <v>29.9</v>
      </c>
      <c r="F28" s="6" t="n">
        <v>95.7</v>
      </c>
      <c r="G28" s="6" t="s">
        <v>127</v>
      </c>
    </row>
    <row r="29" customFormat="false" ht="15" hidden="false" customHeight="false" outlineLevel="0" collapsed="false">
      <c r="A29" s="6" t="s">
        <v>126</v>
      </c>
      <c r="B29" s="6" t="s">
        <v>22</v>
      </c>
      <c r="C29" s="6" t="n">
        <v>30</v>
      </c>
      <c r="D29" s="6" t="s">
        <v>50</v>
      </c>
      <c r="E29" s="6" t="n">
        <v>26.7</v>
      </c>
      <c r="F29" s="6" t="n">
        <v>95.6</v>
      </c>
      <c r="G29" s="6" t="s">
        <v>127</v>
      </c>
    </row>
    <row r="30" customFormat="false" ht="15" hidden="false" customHeight="false" outlineLevel="0" collapsed="false">
      <c r="A30" s="6" t="s">
        <v>126</v>
      </c>
      <c r="B30" s="6" t="s">
        <v>22</v>
      </c>
      <c r="C30" s="6" t="n">
        <v>30</v>
      </c>
      <c r="D30" s="6" t="s">
        <v>51</v>
      </c>
      <c r="E30" s="6" t="n">
        <v>28.5</v>
      </c>
      <c r="F30" s="6" t="n">
        <v>96.3</v>
      </c>
      <c r="G30" s="6" t="s">
        <v>127</v>
      </c>
    </row>
    <row r="31" customFormat="false" ht="15" hidden="false" customHeight="false" outlineLevel="0" collapsed="false">
      <c r="A31" s="6" t="s">
        <v>126</v>
      </c>
      <c r="B31" s="6" t="s">
        <v>22</v>
      </c>
      <c r="C31" s="6" t="n">
        <v>30</v>
      </c>
      <c r="D31" s="6" t="s">
        <v>52</v>
      </c>
      <c r="E31" s="6" t="n">
        <v>24.1</v>
      </c>
      <c r="F31" s="6" t="n">
        <v>95.9</v>
      </c>
      <c r="G31" s="6" t="s">
        <v>127</v>
      </c>
    </row>
    <row r="32" customFormat="false" ht="15" hidden="false" customHeight="false" outlineLevel="0" collapsed="false">
      <c r="A32" s="6" t="s">
        <v>126</v>
      </c>
      <c r="B32" s="6" t="s">
        <v>22</v>
      </c>
      <c r="C32" s="6" t="n">
        <v>30</v>
      </c>
      <c r="D32" s="6" t="s">
        <v>53</v>
      </c>
      <c r="E32" s="6" t="n">
        <v>27.3</v>
      </c>
      <c r="F32" s="6" t="n">
        <v>94.5</v>
      </c>
      <c r="G32" s="6" t="s">
        <v>127</v>
      </c>
    </row>
    <row r="33" customFormat="false" ht="15" hidden="false" customHeight="false" outlineLevel="0" collapsed="false">
      <c r="A33" s="6" t="s">
        <v>126</v>
      </c>
      <c r="B33" s="6" t="s">
        <v>22</v>
      </c>
      <c r="C33" s="6" t="n">
        <v>30</v>
      </c>
      <c r="D33" s="6" t="s">
        <v>54</v>
      </c>
      <c r="E33" s="6" t="n">
        <v>33</v>
      </c>
      <c r="F33" s="6" t="n">
        <v>93.2</v>
      </c>
      <c r="G33" s="6" t="s">
        <v>127</v>
      </c>
    </row>
    <row r="34" customFormat="false" ht="15" hidden="false" customHeight="false" outlineLevel="0" collapsed="false">
      <c r="A34" s="6" t="s">
        <v>126</v>
      </c>
      <c r="B34" s="6" t="s">
        <v>22</v>
      </c>
      <c r="C34" s="6" t="n">
        <v>30</v>
      </c>
      <c r="D34" s="6" t="s">
        <v>55</v>
      </c>
      <c r="E34" s="6" t="n">
        <v>33.6</v>
      </c>
      <c r="F34" s="6" t="n">
        <v>94</v>
      </c>
      <c r="G34" s="6" t="s">
        <v>127</v>
      </c>
    </row>
    <row r="35" customFormat="false" ht="15" hidden="false" customHeight="false" outlineLevel="0" collapsed="false">
      <c r="A35" s="6" t="s">
        <v>126</v>
      </c>
      <c r="B35" s="6" t="s">
        <v>22</v>
      </c>
      <c r="C35" s="6" t="n">
        <v>30</v>
      </c>
      <c r="D35" s="6" t="s">
        <v>56</v>
      </c>
      <c r="E35" s="6" t="n">
        <v>37</v>
      </c>
      <c r="F35" s="6" t="n">
        <v>94.3</v>
      </c>
      <c r="G35" s="6" t="s">
        <v>127</v>
      </c>
    </row>
    <row r="36" customFormat="false" ht="15" hidden="false" customHeight="false" outlineLevel="0" collapsed="false">
      <c r="A36" s="6" t="s">
        <v>126</v>
      </c>
      <c r="B36" s="6" t="s">
        <v>22</v>
      </c>
      <c r="C36" s="6" t="n">
        <v>30</v>
      </c>
      <c r="D36" s="6" t="s">
        <v>57</v>
      </c>
      <c r="E36" s="6" t="n">
        <v>33.8</v>
      </c>
      <c r="F36" s="6" t="n">
        <v>93.7</v>
      </c>
      <c r="G36" s="6" t="s">
        <v>127</v>
      </c>
    </row>
    <row r="37" customFormat="false" ht="15" hidden="false" customHeight="false" outlineLevel="0" collapsed="false">
      <c r="A37" s="6" t="s">
        <v>126</v>
      </c>
      <c r="B37" s="6" t="s">
        <v>22</v>
      </c>
      <c r="C37" s="6" t="n">
        <v>30</v>
      </c>
      <c r="D37" s="6" t="s">
        <v>58</v>
      </c>
      <c r="E37" s="6" t="n">
        <v>30.9</v>
      </c>
      <c r="F37" s="6" t="n">
        <v>93.2</v>
      </c>
      <c r="G37" s="6" t="s">
        <v>127</v>
      </c>
    </row>
    <row r="38" customFormat="false" ht="15" hidden="false" customHeight="false" outlineLevel="0" collapsed="false">
      <c r="A38" s="6" t="s">
        <v>126</v>
      </c>
      <c r="B38" s="6" t="s">
        <v>22</v>
      </c>
      <c r="C38" s="6" t="n">
        <v>30</v>
      </c>
      <c r="D38" s="6" t="s">
        <v>59</v>
      </c>
      <c r="E38" s="6" t="n">
        <v>25.9</v>
      </c>
      <c r="F38" s="6" t="n">
        <v>93.8</v>
      </c>
      <c r="G38" s="6" t="s">
        <v>127</v>
      </c>
    </row>
    <row r="39" customFormat="false" ht="15" hidden="false" customHeight="false" outlineLevel="0" collapsed="false">
      <c r="A39" s="6" t="s">
        <v>126</v>
      </c>
      <c r="B39" s="6" t="s">
        <v>22</v>
      </c>
      <c r="C39" s="6" t="n">
        <v>30</v>
      </c>
      <c r="D39" s="6" t="s">
        <v>60</v>
      </c>
      <c r="E39" s="6" t="n">
        <v>28.9</v>
      </c>
      <c r="F39" s="6" t="n">
        <v>92.9</v>
      </c>
      <c r="G39" s="6" t="s">
        <v>127</v>
      </c>
    </row>
    <row r="40" customFormat="false" ht="15" hidden="false" customHeight="false" outlineLevel="0" collapsed="false">
      <c r="A40" s="6" t="s">
        <v>126</v>
      </c>
      <c r="B40" s="6" t="s">
        <v>22</v>
      </c>
      <c r="C40" s="6" t="n">
        <v>30</v>
      </c>
      <c r="D40" s="6" t="s">
        <v>61</v>
      </c>
      <c r="E40" s="6" t="n">
        <v>36.3</v>
      </c>
      <c r="F40" s="6" t="n">
        <v>92.6</v>
      </c>
      <c r="G40" s="6" t="s">
        <v>127</v>
      </c>
    </row>
    <row r="41" customFormat="false" ht="15" hidden="false" customHeight="false" outlineLevel="0" collapsed="false">
      <c r="A41" s="6" t="s">
        <v>126</v>
      </c>
      <c r="B41" s="6" t="s">
        <v>22</v>
      </c>
      <c r="C41" s="6" t="n">
        <v>30</v>
      </c>
      <c r="D41" s="6" t="s">
        <v>62</v>
      </c>
      <c r="E41" s="6" t="n">
        <v>32.7</v>
      </c>
      <c r="F41" s="6" t="n">
        <v>93.3</v>
      </c>
      <c r="G41" s="6" t="s">
        <v>127</v>
      </c>
    </row>
    <row r="42" customFormat="false" ht="15" hidden="false" customHeight="false" outlineLevel="0" collapsed="false">
      <c r="A42" s="6" t="s">
        <v>126</v>
      </c>
      <c r="B42" s="6" t="s">
        <v>22</v>
      </c>
      <c r="C42" s="6" t="n">
        <v>30</v>
      </c>
      <c r="D42" s="6" t="s">
        <v>63</v>
      </c>
      <c r="E42" s="6" t="n">
        <v>34</v>
      </c>
      <c r="F42" s="6" t="n">
        <v>92.4</v>
      </c>
      <c r="G42" s="6" t="s">
        <v>127</v>
      </c>
    </row>
    <row r="43" customFormat="false" ht="15" hidden="false" customHeight="false" outlineLevel="0" collapsed="false">
      <c r="A43" s="6" t="s">
        <v>126</v>
      </c>
      <c r="B43" s="6" t="s">
        <v>22</v>
      </c>
      <c r="C43" s="6" t="n">
        <v>30</v>
      </c>
      <c r="D43" s="6" t="s">
        <v>64</v>
      </c>
      <c r="E43" s="6" t="n">
        <v>28.9</v>
      </c>
      <c r="F43" s="6" t="n">
        <v>92.9</v>
      </c>
      <c r="G43" s="6" t="s">
        <v>127</v>
      </c>
    </row>
    <row r="44" customFormat="false" ht="15" hidden="false" customHeight="false" outlineLevel="0" collapsed="false">
      <c r="A44" s="6" t="s">
        <v>126</v>
      </c>
      <c r="B44" s="6" t="s">
        <v>22</v>
      </c>
      <c r="C44" s="6" t="n">
        <v>30</v>
      </c>
      <c r="D44" s="6" t="s">
        <v>65</v>
      </c>
      <c r="E44" s="6" t="n">
        <v>28.9</v>
      </c>
      <c r="F44" s="6" t="n">
        <v>92.8</v>
      </c>
      <c r="G44" s="6" t="s">
        <v>127</v>
      </c>
    </row>
    <row r="45" customFormat="false" ht="15" hidden="false" customHeight="false" outlineLevel="0" collapsed="false">
      <c r="A45" s="6" t="s">
        <v>126</v>
      </c>
      <c r="B45" s="6" t="s">
        <v>22</v>
      </c>
      <c r="C45" s="6" t="n">
        <v>30</v>
      </c>
      <c r="D45" s="6" t="s">
        <v>66</v>
      </c>
      <c r="E45" s="6" t="n">
        <v>30.6</v>
      </c>
      <c r="F45" s="6" t="n">
        <v>91.2</v>
      </c>
      <c r="G45" s="6" t="s">
        <v>127</v>
      </c>
    </row>
    <row r="46" customFormat="false" ht="15" hidden="false" customHeight="false" outlineLevel="0" collapsed="false">
      <c r="A46" s="6" t="s">
        <v>126</v>
      </c>
      <c r="B46" s="6" t="s">
        <v>22</v>
      </c>
      <c r="C46" s="6" t="n">
        <v>30</v>
      </c>
      <c r="D46" s="6" t="s">
        <v>67</v>
      </c>
      <c r="E46" s="6" t="n">
        <v>37.5</v>
      </c>
      <c r="F46" s="6" t="n">
        <v>91.7</v>
      </c>
      <c r="G46" s="6" t="s">
        <v>127</v>
      </c>
    </row>
    <row r="47" customFormat="false" ht="15" hidden="false" customHeight="false" outlineLevel="0" collapsed="false">
      <c r="A47" s="6" t="s">
        <v>126</v>
      </c>
      <c r="B47" s="6" t="s">
        <v>22</v>
      </c>
      <c r="C47" s="6" t="n">
        <v>30</v>
      </c>
      <c r="D47" s="6" t="s">
        <v>68</v>
      </c>
      <c r="E47" s="6" t="n">
        <v>34.7</v>
      </c>
      <c r="F47" s="6" t="n">
        <v>93.4</v>
      </c>
      <c r="G47" s="6" t="s">
        <v>127</v>
      </c>
    </row>
    <row r="48" customFormat="false" ht="15" hidden="false" customHeight="false" outlineLevel="0" collapsed="false">
      <c r="A48" s="6" t="s">
        <v>126</v>
      </c>
      <c r="B48" s="6" t="s">
        <v>22</v>
      </c>
      <c r="C48" s="6" t="n">
        <v>30</v>
      </c>
      <c r="D48" s="6" t="s">
        <v>69</v>
      </c>
      <c r="E48" s="6" t="n">
        <v>29.3</v>
      </c>
      <c r="F48" s="6" t="n">
        <v>90.6</v>
      </c>
      <c r="G48" s="6" t="s">
        <v>127</v>
      </c>
    </row>
    <row r="49" customFormat="false" ht="15" hidden="false" customHeight="false" outlineLevel="0" collapsed="false">
      <c r="A49" s="6" t="s">
        <v>126</v>
      </c>
      <c r="B49" s="6" t="s">
        <v>22</v>
      </c>
      <c r="C49" s="6" t="n">
        <v>30</v>
      </c>
      <c r="D49" s="6" t="s">
        <v>70</v>
      </c>
      <c r="E49" s="6" t="n">
        <v>30.1</v>
      </c>
      <c r="F49" s="6" t="n">
        <v>89.5</v>
      </c>
      <c r="G49" s="6" t="s">
        <v>127</v>
      </c>
    </row>
    <row r="50" customFormat="false" ht="15" hidden="false" customHeight="false" outlineLevel="0" collapsed="false">
      <c r="A50" s="6" t="s">
        <v>126</v>
      </c>
      <c r="B50" s="6" t="s">
        <v>22</v>
      </c>
      <c r="C50" s="6" t="n">
        <v>30</v>
      </c>
      <c r="D50" s="6" t="s">
        <v>71</v>
      </c>
      <c r="E50" s="6" t="n">
        <v>29.7</v>
      </c>
      <c r="F50" s="6" t="n">
        <v>89.6</v>
      </c>
      <c r="G50" s="6" t="s">
        <v>127</v>
      </c>
    </row>
    <row r="51" customFormat="false" ht="15" hidden="false" customHeight="false" outlineLevel="0" collapsed="false">
      <c r="A51" s="6" t="s">
        <v>126</v>
      </c>
      <c r="B51" s="6" t="s">
        <v>22</v>
      </c>
      <c r="C51" s="6" t="n">
        <v>30</v>
      </c>
      <c r="D51" s="6" t="s">
        <v>72</v>
      </c>
      <c r="E51" s="6" t="n">
        <v>32.5</v>
      </c>
      <c r="F51" s="6" t="n">
        <v>91.3</v>
      </c>
      <c r="G51" s="6" t="s">
        <v>127</v>
      </c>
    </row>
    <row r="52" customFormat="false" ht="15" hidden="false" customHeight="false" outlineLevel="0" collapsed="false">
      <c r="A52" s="6" t="s">
        <v>126</v>
      </c>
      <c r="B52" s="6" t="s">
        <v>22</v>
      </c>
      <c r="C52" s="6" t="n">
        <v>30</v>
      </c>
      <c r="D52" s="6" t="s">
        <v>73</v>
      </c>
      <c r="E52" s="6" t="n">
        <v>27</v>
      </c>
      <c r="F52" s="6" t="n">
        <v>91.1</v>
      </c>
      <c r="G52" s="6" t="s">
        <v>127</v>
      </c>
    </row>
    <row r="53" customFormat="false" ht="15" hidden="false" customHeight="false" outlineLevel="0" collapsed="false">
      <c r="A53" s="6" t="s">
        <v>126</v>
      </c>
      <c r="B53" s="6" t="s">
        <v>22</v>
      </c>
      <c r="C53" s="6" t="n">
        <v>30</v>
      </c>
      <c r="D53" s="6" t="s">
        <v>74</v>
      </c>
      <c r="E53" s="6" t="n">
        <v>26.4</v>
      </c>
      <c r="F53" s="6" t="n">
        <v>90.8</v>
      </c>
      <c r="G53" s="6" t="s">
        <v>127</v>
      </c>
    </row>
    <row r="54" customFormat="false" ht="15" hidden="false" customHeight="false" outlineLevel="0" collapsed="false">
      <c r="A54" s="6" t="s">
        <v>126</v>
      </c>
      <c r="B54" s="6" t="s">
        <v>22</v>
      </c>
      <c r="C54" s="6" t="n">
        <v>30</v>
      </c>
      <c r="D54" s="6" t="s">
        <v>75</v>
      </c>
      <c r="E54" s="6" t="n">
        <v>32</v>
      </c>
      <c r="F54" s="6" t="n">
        <v>91.9</v>
      </c>
      <c r="G54" s="6" t="s">
        <v>127</v>
      </c>
    </row>
    <row r="55" customFormat="false" ht="15" hidden="false" customHeight="false" outlineLevel="0" collapsed="false">
      <c r="A55" s="6" t="s">
        <v>126</v>
      </c>
      <c r="B55" s="6" t="s">
        <v>22</v>
      </c>
      <c r="C55" s="6" t="n">
        <v>30</v>
      </c>
      <c r="D55" s="6" t="s">
        <v>76</v>
      </c>
      <c r="E55" s="6" t="n">
        <v>37.4</v>
      </c>
      <c r="F55" s="6" t="n">
        <v>87.9</v>
      </c>
      <c r="G55" s="6" t="s">
        <v>127</v>
      </c>
    </row>
    <row r="56" customFormat="false" ht="15" hidden="false" customHeight="false" outlineLevel="0" collapsed="false">
      <c r="A56" s="6" t="s">
        <v>126</v>
      </c>
      <c r="B56" s="6" t="s">
        <v>22</v>
      </c>
      <c r="C56" s="6" t="n">
        <v>30</v>
      </c>
      <c r="D56" s="6" t="s">
        <v>77</v>
      </c>
      <c r="E56" s="6" t="n">
        <v>38.1</v>
      </c>
      <c r="F56" s="6" t="n">
        <v>90.7</v>
      </c>
      <c r="G56" s="6" t="s">
        <v>127</v>
      </c>
    </row>
    <row r="57" customFormat="false" ht="15" hidden="false" customHeight="false" outlineLevel="0" collapsed="false">
      <c r="A57" s="6" t="s">
        <v>126</v>
      </c>
      <c r="B57" s="6" t="s">
        <v>22</v>
      </c>
      <c r="C57" s="6" t="n">
        <v>30</v>
      </c>
      <c r="D57" s="6" t="s">
        <v>78</v>
      </c>
      <c r="E57" s="6" t="n">
        <v>30.3</v>
      </c>
      <c r="F57" s="6" t="n">
        <v>91.7</v>
      </c>
      <c r="G57" s="6" t="s">
        <v>127</v>
      </c>
    </row>
    <row r="58" customFormat="false" ht="15" hidden="false" customHeight="false" outlineLevel="0" collapsed="false">
      <c r="A58" s="6" t="s">
        <v>126</v>
      </c>
      <c r="B58" s="6" t="s">
        <v>22</v>
      </c>
      <c r="C58" s="6" t="n">
        <v>30</v>
      </c>
      <c r="D58" s="6" t="s">
        <v>79</v>
      </c>
      <c r="E58" s="6" t="n">
        <v>28.4</v>
      </c>
      <c r="F58" s="6" t="n">
        <v>88.9</v>
      </c>
      <c r="G58" s="6" t="s">
        <v>127</v>
      </c>
    </row>
    <row r="59" customFormat="false" ht="15" hidden="false" customHeight="false" outlineLevel="0" collapsed="false">
      <c r="A59" s="6" t="s">
        <v>126</v>
      </c>
      <c r="B59" s="6" t="s">
        <v>22</v>
      </c>
      <c r="C59" s="6" t="n">
        <v>30</v>
      </c>
      <c r="D59" s="6" t="s">
        <v>80</v>
      </c>
      <c r="E59" s="6" t="n">
        <v>46</v>
      </c>
      <c r="F59" s="6" t="n">
        <v>89.4</v>
      </c>
      <c r="G59" s="6" t="s">
        <v>127</v>
      </c>
    </row>
    <row r="60" customFormat="false" ht="15" hidden="false" customHeight="false" outlineLevel="0" collapsed="false">
      <c r="A60" s="6" t="s">
        <v>126</v>
      </c>
      <c r="B60" s="6" t="s">
        <v>22</v>
      </c>
      <c r="C60" s="6" t="n">
        <v>30</v>
      </c>
      <c r="D60" s="6" t="s">
        <v>81</v>
      </c>
      <c r="E60" s="6" t="n">
        <v>43.3</v>
      </c>
      <c r="F60" s="6" t="n">
        <v>88.9</v>
      </c>
      <c r="G60" s="6" t="s">
        <v>127</v>
      </c>
    </row>
    <row r="61" customFormat="false" ht="15" hidden="false" customHeight="false" outlineLevel="0" collapsed="false">
      <c r="A61" s="6" t="s">
        <v>126</v>
      </c>
      <c r="B61" s="6" t="s">
        <v>22</v>
      </c>
      <c r="C61" s="6" t="n">
        <v>30</v>
      </c>
      <c r="D61" s="6" t="s">
        <v>82</v>
      </c>
      <c r="E61" s="6" t="n">
        <v>40</v>
      </c>
      <c r="F61" s="6" t="n">
        <v>88.6</v>
      </c>
      <c r="G61" s="6" t="s">
        <v>127</v>
      </c>
    </row>
    <row r="62" customFormat="false" ht="15" hidden="false" customHeight="false" outlineLevel="0" collapsed="false">
      <c r="A62" s="6" t="s">
        <v>126</v>
      </c>
      <c r="B62" s="6" t="s">
        <v>22</v>
      </c>
      <c r="C62" s="6" t="n">
        <v>30</v>
      </c>
      <c r="D62" s="6" t="s">
        <v>83</v>
      </c>
      <c r="E62" s="6" t="n">
        <v>32.2</v>
      </c>
      <c r="F62" s="6" t="n">
        <v>88.9</v>
      </c>
      <c r="G62" s="6" t="s">
        <v>127</v>
      </c>
    </row>
    <row r="63" customFormat="false" ht="15" hidden="false" customHeight="false" outlineLevel="0" collapsed="false">
      <c r="A63" s="6" t="s">
        <v>126</v>
      </c>
      <c r="B63" s="6" t="s">
        <v>22</v>
      </c>
      <c r="C63" s="6" t="n">
        <v>30</v>
      </c>
      <c r="D63" s="6" t="s">
        <v>84</v>
      </c>
      <c r="E63" s="6" t="n">
        <v>47.3</v>
      </c>
      <c r="F63" s="6" t="n">
        <v>90.5</v>
      </c>
      <c r="G63" s="6" t="s">
        <v>127</v>
      </c>
    </row>
    <row r="64" customFormat="false" ht="15" hidden="false" customHeight="false" outlineLevel="0" collapsed="false">
      <c r="A64" s="6" t="s">
        <v>126</v>
      </c>
      <c r="B64" s="6" t="s">
        <v>22</v>
      </c>
      <c r="C64" s="6" t="n">
        <v>30</v>
      </c>
      <c r="D64" s="6" t="s">
        <v>85</v>
      </c>
      <c r="E64" s="6" t="n">
        <v>45.7</v>
      </c>
      <c r="F64" s="6" t="n">
        <v>90.8</v>
      </c>
      <c r="G64" s="6" t="s">
        <v>127</v>
      </c>
    </row>
    <row r="65" customFormat="false" ht="15" hidden="false" customHeight="false" outlineLevel="0" collapsed="false">
      <c r="A65" s="6" t="s">
        <v>126</v>
      </c>
      <c r="B65" s="6" t="s">
        <v>22</v>
      </c>
      <c r="C65" s="6" t="n">
        <v>30</v>
      </c>
      <c r="D65" s="6" t="s">
        <v>86</v>
      </c>
      <c r="E65" s="6" t="n">
        <v>41.3</v>
      </c>
      <c r="F65" s="6" t="n">
        <v>88.4</v>
      </c>
      <c r="G65" s="6" t="s">
        <v>127</v>
      </c>
    </row>
    <row r="66" customFormat="false" ht="15" hidden="false" customHeight="false" outlineLevel="0" collapsed="false">
      <c r="A66" s="6" t="s">
        <v>126</v>
      </c>
      <c r="B66" s="6" t="s">
        <v>22</v>
      </c>
      <c r="C66" s="6" t="n">
        <v>30</v>
      </c>
      <c r="D66" s="6" t="s">
        <v>87</v>
      </c>
      <c r="E66" s="6" t="n">
        <v>33</v>
      </c>
      <c r="F66" s="6" t="n">
        <v>90.5</v>
      </c>
      <c r="G66" s="6" t="s">
        <v>127</v>
      </c>
    </row>
    <row r="67" customFormat="false" ht="15" hidden="false" customHeight="false" outlineLevel="0" collapsed="false">
      <c r="A67" s="6" t="s">
        <v>126</v>
      </c>
      <c r="B67" s="6" t="s">
        <v>22</v>
      </c>
      <c r="C67" s="6" t="n">
        <v>30</v>
      </c>
      <c r="D67" s="6" t="s">
        <v>88</v>
      </c>
      <c r="E67" s="6" t="n">
        <v>30.4</v>
      </c>
      <c r="F67" s="6" t="n">
        <v>88.4</v>
      </c>
      <c r="G67" s="6" t="s">
        <v>127</v>
      </c>
    </row>
    <row r="68" customFormat="false" ht="15" hidden="false" customHeight="false" outlineLevel="0" collapsed="false">
      <c r="A68" s="6" t="s">
        <v>126</v>
      </c>
      <c r="B68" s="6" t="s">
        <v>22</v>
      </c>
      <c r="C68" s="6" t="n">
        <v>30</v>
      </c>
      <c r="D68" s="6" t="s">
        <v>89</v>
      </c>
      <c r="E68" s="6" t="n">
        <v>32.3</v>
      </c>
      <c r="F68" s="6" t="n">
        <v>90</v>
      </c>
      <c r="G68" s="6" t="s">
        <v>127</v>
      </c>
    </row>
    <row r="69" customFormat="false" ht="15" hidden="false" customHeight="false" outlineLevel="0" collapsed="false">
      <c r="A69" s="6" t="s">
        <v>126</v>
      </c>
      <c r="B69" s="6" t="s">
        <v>22</v>
      </c>
      <c r="C69" s="6" t="n">
        <v>30</v>
      </c>
      <c r="D69" s="6" t="s">
        <v>90</v>
      </c>
      <c r="E69" s="6" t="n">
        <v>45.8</v>
      </c>
      <c r="F69" s="6" t="n">
        <v>87.9</v>
      </c>
      <c r="G69" s="6" t="s">
        <v>127</v>
      </c>
    </row>
    <row r="70" customFormat="false" ht="15" hidden="false" customHeight="false" outlineLevel="0" collapsed="false">
      <c r="A70" s="6" t="s">
        <v>126</v>
      </c>
      <c r="B70" s="6" t="s">
        <v>22</v>
      </c>
      <c r="C70" s="6" t="n">
        <v>30</v>
      </c>
      <c r="D70" s="6" t="s">
        <v>91</v>
      </c>
      <c r="E70" s="6" t="n">
        <v>50.4</v>
      </c>
      <c r="F70" s="6" t="n">
        <v>88</v>
      </c>
      <c r="G70" s="6" t="s">
        <v>127</v>
      </c>
    </row>
    <row r="71" customFormat="false" ht="15" hidden="false" customHeight="false" outlineLevel="0" collapsed="false">
      <c r="A71" s="6" t="s">
        <v>126</v>
      </c>
      <c r="B71" s="6" t="s">
        <v>22</v>
      </c>
      <c r="C71" s="6" t="n">
        <v>30</v>
      </c>
      <c r="D71" s="6" t="s">
        <v>92</v>
      </c>
      <c r="E71" s="6" t="n">
        <v>44.6</v>
      </c>
      <c r="F71" s="6" t="n">
        <v>88</v>
      </c>
      <c r="G71" s="6" t="s">
        <v>127</v>
      </c>
    </row>
    <row r="72" customFormat="false" ht="15" hidden="false" customHeight="false" outlineLevel="0" collapsed="false">
      <c r="A72" s="6" t="s">
        <v>126</v>
      </c>
      <c r="B72" s="6" t="s">
        <v>22</v>
      </c>
      <c r="C72" s="6" t="n">
        <v>30</v>
      </c>
      <c r="D72" s="6" t="s">
        <v>93</v>
      </c>
      <c r="E72" s="6" t="n">
        <v>31.5</v>
      </c>
      <c r="F72" s="6" t="n">
        <v>90.7</v>
      </c>
      <c r="G72" s="6" t="s">
        <v>127</v>
      </c>
    </row>
    <row r="73" customFormat="false" ht="15" hidden="false" customHeight="false" outlineLevel="0" collapsed="false">
      <c r="A73" s="6" t="s">
        <v>126</v>
      </c>
      <c r="B73" s="6" t="s">
        <v>22</v>
      </c>
      <c r="C73" s="6" t="n">
        <v>30</v>
      </c>
      <c r="D73" s="6" t="s">
        <v>94</v>
      </c>
      <c r="E73" s="6" t="n">
        <v>27.4</v>
      </c>
      <c r="F73" s="6" t="n">
        <v>88.2</v>
      </c>
      <c r="G73" s="6" t="s">
        <v>127</v>
      </c>
    </row>
    <row r="74" customFormat="false" ht="15" hidden="false" customHeight="false" outlineLevel="0" collapsed="false">
      <c r="A74" s="6" t="s">
        <v>126</v>
      </c>
      <c r="B74" s="6" t="s">
        <v>22</v>
      </c>
      <c r="C74" s="6" t="n">
        <v>30</v>
      </c>
      <c r="D74" s="6" t="s">
        <v>95</v>
      </c>
      <c r="E74" s="6" t="n">
        <v>35.9</v>
      </c>
      <c r="F74" s="6" t="n">
        <v>86.4</v>
      </c>
      <c r="G74" s="6" t="s">
        <v>127</v>
      </c>
    </row>
    <row r="75" customFormat="false" ht="15" hidden="false" customHeight="false" outlineLevel="0" collapsed="false">
      <c r="A75" s="6" t="s">
        <v>126</v>
      </c>
      <c r="B75" s="6" t="s">
        <v>22</v>
      </c>
      <c r="C75" s="6" t="n">
        <v>30</v>
      </c>
      <c r="D75" s="6" t="s">
        <v>96</v>
      </c>
      <c r="E75" s="6" t="n">
        <v>34.6</v>
      </c>
      <c r="F75" s="6" t="n">
        <v>87.9</v>
      </c>
      <c r="G75" s="6" t="s">
        <v>127</v>
      </c>
    </row>
    <row r="76" customFormat="false" ht="15" hidden="false" customHeight="false" outlineLevel="0" collapsed="false">
      <c r="A76" s="6" t="s">
        <v>126</v>
      </c>
      <c r="B76" s="6" t="s">
        <v>22</v>
      </c>
      <c r="C76" s="6" t="n">
        <v>30</v>
      </c>
      <c r="D76" s="6" t="s">
        <v>97</v>
      </c>
      <c r="E76" s="6" t="n">
        <v>35.9</v>
      </c>
      <c r="F76" s="6" t="n">
        <v>86.4</v>
      </c>
      <c r="G76" s="6" t="s">
        <v>127</v>
      </c>
    </row>
    <row r="77" customFormat="false" ht="15" hidden="false" customHeight="false" outlineLevel="0" collapsed="false">
      <c r="A77" s="6" t="s">
        <v>126</v>
      </c>
      <c r="B77" s="6" t="s">
        <v>22</v>
      </c>
      <c r="C77" s="6" t="n">
        <v>30</v>
      </c>
      <c r="D77" s="6" t="s">
        <v>98</v>
      </c>
      <c r="E77" s="6" t="n">
        <v>29.2</v>
      </c>
      <c r="F77" s="6" t="n">
        <v>86.1</v>
      </c>
      <c r="G77" s="6" t="s">
        <v>127</v>
      </c>
    </row>
    <row r="78" customFormat="false" ht="15" hidden="false" customHeight="false" outlineLevel="0" collapsed="false">
      <c r="A78" s="6" t="s">
        <v>126</v>
      </c>
      <c r="B78" s="6" t="s">
        <v>22</v>
      </c>
      <c r="C78" s="6" t="n">
        <v>30</v>
      </c>
      <c r="D78" s="6" t="s">
        <v>99</v>
      </c>
      <c r="E78" s="6" t="n">
        <v>30</v>
      </c>
      <c r="F78" s="6" t="n">
        <v>87.3</v>
      </c>
      <c r="G78" s="6" t="s">
        <v>127</v>
      </c>
    </row>
    <row r="79" customFormat="false" ht="15" hidden="false" customHeight="false" outlineLevel="0" collapsed="false">
      <c r="A79" s="6" t="s">
        <v>126</v>
      </c>
      <c r="B79" s="6" t="s">
        <v>22</v>
      </c>
      <c r="C79" s="6" t="n">
        <v>30</v>
      </c>
      <c r="D79" s="6" t="s">
        <v>100</v>
      </c>
      <c r="E79" s="6" t="n">
        <v>32.9</v>
      </c>
      <c r="F79" s="6" t="n">
        <v>86.3</v>
      </c>
      <c r="G79" s="6" t="s">
        <v>127</v>
      </c>
    </row>
    <row r="80" customFormat="false" ht="15" hidden="false" customHeight="false" outlineLevel="0" collapsed="false">
      <c r="A80" s="6" t="s">
        <v>126</v>
      </c>
      <c r="B80" s="6" t="s">
        <v>22</v>
      </c>
      <c r="C80" s="6" t="n">
        <v>30</v>
      </c>
      <c r="D80" s="6" t="s">
        <v>101</v>
      </c>
      <c r="E80" s="6" t="n">
        <v>29.6</v>
      </c>
      <c r="F80" s="6" t="n">
        <v>86.3</v>
      </c>
      <c r="G80" s="6" t="s">
        <v>127</v>
      </c>
    </row>
    <row r="81" customFormat="false" ht="15" hidden="false" customHeight="false" outlineLevel="0" collapsed="false">
      <c r="A81" s="6" t="s">
        <v>126</v>
      </c>
      <c r="B81" s="6" t="s">
        <v>22</v>
      </c>
      <c r="C81" s="6" t="n">
        <v>30</v>
      </c>
      <c r="D81" s="6" t="s">
        <v>102</v>
      </c>
      <c r="E81" s="6" t="n">
        <v>46.2</v>
      </c>
      <c r="F81" s="6" t="n">
        <v>85.9</v>
      </c>
      <c r="G81" s="6" t="s">
        <v>127</v>
      </c>
    </row>
    <row r="82" customFormat="false" ht="15" hidden="false" customHeight="false" outlineLevel="0" collapsed="false">
      <c r="A82" s="6" t="s">
        <v>126</v>
      </c>
      <c r="B82" s="6" t="s">
        <v>22</v>
      </c>
      <c r="C82" s="6" t="n">
        <v>30</v>
      </c>
      <c r="D82" s="6" t="s">
        <v>103</v>
      </c>
      <c r="E82" s="6" t="n">
        <v>52.1</v>
      </c>
      <c r="F82" s="6" t="n">
        <v>86</v>
      </c>
      <c r="G82" s="6" t="s">
        <v>127</v>
      </c>
    </row>
    <row r="83" customFormat="false" ht="15" hidden="false" customHeight="false" outlineLevel="0" collapsed="false">
      <c r="A83" s="6" t="s">
        <v>126</v>
      </c>
      <c r="B83" s="6" t="s">
        <v>22</v>
      </c>
      <c r="C83" s="6" t="n">
        <v>30</v>
      </c>
      <c r="D83" s="6" t="s">
        <v>104</v>
      </c>
      <c r="E83" s="6" t="n">
        <v>59.3</v>
      </c>
      <c r="F83" s="6" t="n">
        <v>85.9</v>
      </c>
      <c r="G83" s="6" t="s">
        <v>127</v>
      </c>
    </row>
    <row r="84" customFormat="false" ht="15" hidden="false" customHeight="false" outlineLevel="0" collapsed="false">
      <c r="A84" s="6" t="s">
        <v>126</v>
      </c>
      <c r="B84" s="6" t="s">
        <v>22</v>
      </c>
      <c r="C84" s="6" t="n">
        <v>30</v>
      </c>
      <c r="D84" s="6" t="s">
        <v>105</v>
      </c>
      <c r="E84" s="6" t="n">
        <v>38.6</v>
      </c>
      <c r="F84" s="6" t="n">
        <v>83.4</v>
      </c>
      <c r="G84" s="6" t="s">
        <v>127</v>
      </c>
    </row>
    <row r="85" customFormat="false" ht="15" hidden="false" customHeight="false" outlineLevel="0" collapsed="false">
      <c r="A85" s="6" t="s">
        <v>126</v>
      </c>
      <c r="B85" s="6" t="s">
        <v>22</v>
      </c>
      <c r="C85" s="6" t="n">
        <v>30</v>
      </c>
      <c r="D85" s="6" t="s">
        <v>106</v>
      </c>
      <c r="E85" s="6" t="n">
        <v>35</v>
      </c>
      <c r="F85" s="6" t="n">
        <v>85.8</v>
      </c>
      <c r="G85" s="6" t="s">
        <v>127</v>
      </c>
    </row>
    <row r="86" customFormat="false" ht="15" hidden="false" customHeight="false" outlineLevel="0" collapsed="false">
      <c r="A86" s="6" t="s">
        <v>126</v>
      </c>
      <c r="B86" s="6" t="s">
        <v>22</v>
      </c>
      <c r="C86" s="6" t="n">
        <v>30</v>
      </c>
      <c r="D86" s="6" t="s">
        <v>107</v>
      </c>
      <c r="E86" s="6" t="n">
        <v>31.1</v>
      </c>
      <c r="F86" s="6" t="n">
        <v>84</v>
      </c>
      <c r="G86" s="6" t="s">
        <v>127</v>
      </c>
    </row>
    <row r="87" customFormat="false" ht="15" hidden="false" customHeight="false" outlineLevel="0" collapsed="false">
      <c r="A87" s="6" t="s">
        <v>126</v>
      </c>
      <c r="B87" s="6" t="s">
        <v>22</v>
      </c>
      <c r="C87" s="6" t="n">
        <v>30</v>
      </c>
      <c r="D87" s="6" t="s">
        <v>108</v>
      </c>
      <c r="E87" s="6" t="n">
        <v>27.6</v>
      </c>
      <c r="F87" s="6" t="n">
        <v>83.4</v>
      </c>
      <c r="G87" s="6" t="s">
        <v>127</v>
      </c>
    </row>
    <row r="88" customFormat="false" ht="15" hidden="false" customHeight="false" outlineLevel="0" collapsed="false">
      <c r="A88" s="6" t="s">
        <v>126</v>
      </c>
      <c r="B88" s="6" t="s">
        <v>22</v>
      </c>
      <c r="C88" s="6" t="n">
        <v>30</v>
      </c>
      <c r="D88" s="6" t="s">
        <v>109</v>
      </c>
      <c r="E88" s="6" t="n">
        <v>44.7</v>
      </c>
      <c r="F88" s="6" t="n">
        <v>84.6</v>
      </c>
      <c r="G88" s="6" t="s">
        <v>127</v>
      </c>
    </row>
    <row r="89" customFormat="false" ht="15" hidden="false" customHeight="false" outlineLevel="0" collapsed="false">
      <c r="A89" s="6" t="s">
        <v>126</v>
      </c>
      <c r="B89" s="6" t="s">
        <v>22</v>
      </c>
      <c r="C89" s="6" t="n">
        <v>30</v>
      </c>
      <c r="D89" s="6" t="s">
        <v>110</v>
      </c>
      <c r="E89" s="6" t="n">
        <v>42.2</v>
      </c>
      <c r="F89" s="6" t="n">
        <v>84.5</v>
      </c>
      <c r="G89" s="6" t="s">
        <v>127</v>
      </c>
    </row>
    <row r="90" customFormat="false" ht="15" hidden="false" customHeight="false" outlineLevel="0" collapsed="false">
      <c r="A90" s="6" t="s">
        <v>126</v>
      </c>
      <c r="B90" s="6" t="s">
        <v>22</v>
      </c>
      <c r="C90" s="6" t="n">
        <v>30</v>
      </c>
      <c r="D90" s="6" t="s">
        <v>111</v>
      </c>
      <c r="E90" s="6" t="n">
        <v>52.7</v>
      </c>
      <c r="F90" s="6" t="n">
        <v>83.6</v>
      </c>
      <c r="G90" s="6" t="s">
        <v>127</v>
      </c>
    </row>
    <row r="91" customFormat="false" ht="15" hidden="false" customHeight="false" outlineLevel="0" collapsed="false">
      <c r="A91" s="6" t="s">
        <v>126</v>
      </c>
      <c r="B91" s="6" t="s">
        <v>22</v>
      </c>
      <c r="C91" s="6" t="n">
        <v>30</v>
      </c>
      <c r="D91" s="6" t="s">
        <v>112</v>
      </c>
      <c r="E91" s="6" t="n">
        <v>39</v>
      </c>
      <c r="F91" s="6" t="n">
        <v>84.9</v>
      </c>
      <c r="G91" s="6" t="s">
        <v>127</v>
      </c>
    </row>
    <row r="92" customFormat="false" ht="15" hidden="false" customHeight="false" outlineLevel="0" collapsed="false">
      <c r="A92" s="6" t="s">
        <v>126</v>
      </c>
      <c r="B92" s="6" t="s">
        <v>22</v>
      </c>
      <c r="C92" s="6" t="n">
        <v>30</v>
      </c>
      <c r="D92" s="6" t="s">
        <v>113</v>
      </c>
      <c r="E92" s="6" t="n">
        <v>43</v>
      </c>
      <c r="F92" s="6" t="n">
        <v>82.6</v>
      </c>
      <c r="G92" s="6" t="s">
        <v>127</v>
      </c>
    </row>
    <row r="93" customFormat="false" ht="15" hidden="false" customHeight="false" outlineLevel="0" collapsed="false">
      <c r="A93" s="6" t="s">
        <v>126</v>
      </c>
      <c r="B93" s="6" t="s">
        <v>22</v>
      </c>
      <c r="C93" s="6" t="n">
        <v>30</v>
      </c>
      <c r="D93" s="6" t="s">
        <v>114</v>
      </c>
      <c r="E93" s="6" t="n">
        <v>33.7</v>
      </c>
      <c r="F93" s="6" t="n">
        <v>83.3</v>
      </c>
      <c r="G93" s="6" t="s">
        <v>127</v>
      </c>
    </row>
    <row r="94" customFormat="false" ht="15" hidden="false" customHeight="false" outlineLevel="0" collapsed="false">
      <c r="A94" s="6" t="s">
        <v>128</v>
      </c>
      <c r="B94" s="6" t="s">
        <v>22</v>
      </c>
      <c r="C94" s="6" t="n">
        <v>60</v>
      </c>
      <c r="D94" s="6" t="s">
        <v>23</v>
      </c>
      <c r="E94" s="6" t="n">
        <v>30.2</v>
      </c>
      <c r="F94" s="6" t="n">
        <v>100</v>
      </c>
      <c r="G94" s="6" t="s">
        <v>127</v>
      </c>
    </row>
    <row r="95" customFormat="false" ht="15" hidden="false" customHeight="false" outlineLevel="0" collapsed="false">
      <c r="A95" s="6" t="s">
        <v>128</v>
      </c>
      <c r="B95" s="6" t="s">
        <v>22</v>
      </c>
      <c r="C95" s="6" t="n">
        <v>60</v>
      </c>
      <c r="D95" s="6" t="s">
        <v>24</v>
      </c>
      <c r="E95" s="6" t="n">
        <v>35.7</v>
      </c>
      <c r="F95" s="6" t="n">
        <v>98.8</v>
      </c>
      <c r="G95" s="6" t="s">
        <v>127</v>
      </c>
    </row>
    <row r="96" customFormat="false" ht="15" hidden="false" customHeight="false" outlineLevel="0" collapsed="false">
      <c r="A96" s="6" t="s">
        <v>128</v>
      </c>
      <c r="B96" s="6" t="s">
        <v>22</v>
      </c>
      <c r="C96" s="6" t="n">
        <v>60</v>
      </c>
      <c r="D96" s="6" t="s">
        <v>25</v>
      </c>
      <c r="E96" s="6" t="n">
        <v>47</v>
      </c>
      <c r="F96" s="6" t="n">
        <v>99.5</v>
      </c>
      <c r="G96" s="6" t="s">
        <v>127</v>
      </c>
    </row>
    <row r="97" customFormat="false" ht="15" hidden="false" customHeight="false" outlineLevel="0" collapsed="false">
      <c r="A97" s="6" t="s">
        <v>128</v>
      </c>
      <c r="B97" s="6" t="s">
        <v>22</v>
      </c>
      <c r="C97" s="6" t="n">
        <v>60</v>
      </c>
      <c r="D97" s="6" t="s">
        <v>26</v>
      </c>
      <c r="E97" s="6" t="n">
        <v>44.2</v>
      </c>
      <c r="F97" s="6" t="n">
        <v>99.4</v>
      </c>
      <c r="G97" s="6" t="s">
        <v>127</v>
      </c>
    </row>
    <row r="98" customFormat="false" ht="15" hidden="false" customHeight="false" outlineLevel="0" collapsed="false">
      <c r="A98" s="6" t="s">
        <v>128</v>
      </c>
      <c r="B98" s="6" t="s">
        <v>22</v>
      </c>
      <c r="C98" s="6" t="n">
        <v>60</v>
      </c>
      <c r="D98" s="6" t="s">
        <v>27</v>
      </c>
      <c r="E98" s="6" t="n">
        <v>47.3</v>
      </c>
      <c r="F98" s="6" t="n">
        <v>97.9</v>
      </c>
      <c r="G98" s="6" t="s">
        <v>127</v>
      </c>
    </row>
    <row r="99" customFormat="false" ht="15" hidden="false" customHeight="false" outlineLevel="0" collapsed="false">
      <c r="A99" s="6" t="s">
        <v>128</v>
      </c>
      <c r="B99" s="6" t="s">
        <v>22</v>
      </c>
      <c r="C99" s="6" t="n">
        <v>60</v>
      </c>
      <c r="D99" s="6" t="s">
        <v>28</v>
      </c>
      <c r="E99" s="6" t="n">
        <v>37.9</v>
      </c>
      <c r="F99" s="6" t="n">
        <v>98.8</v>
      </c>
      <c r="G99" s="6" t="s">
        <v>127</v>
      </c>
    </row>
    <row r="100" customFormat="false" ht="15" hidden="false" customHeight="false" outlineLevel="0" collapsed="false">
      <c r="A100" s="6" t="s">
        <v>128</v>
      </c>
      <c r="B100" s="6" t="s">
        <v>22</v>
      </c>
      <c r="C100" s="6" t="n">
        <v>60</v>
      </c>
      <c r="D100" s="6" t="s">
        <v>29</v>
      </c>
      <c r="E100" s="6" t="n">
        <v>36.4</v>
      </c>
      <c r="F100" s="6" t="n">
        <v>98.1</v>
      </c>
      <c r="G100" s="6" t="s">
        <v>127</v>
      </c>
    </row>
    <row r="101" customFormat="false" ht="15" hidden="false" customHeight="false" outlineLevel="0" collapsed="false">
      <c r="A101" s="6" t="s">
        <v>128</v>
      </c>
      <c r="B101" s="6" t="s">
        <v>22</v>
      </c>
      <c r="C101" s="6" t="n">
        <v>60</v>
      </c>
      <c r="D101" s="6" t="s">
        <v>30</v>
      </c>
      <c r="E101" s="6" t="n">
        <v>34.3</v>
      </c>
      <c r="F101" s="6" t="n">
        <v>99.6</v>
      </c>
      <c r="G101" s="6" t="s">
        <v>127</v>
      </c>
    </row>
    <row r="102" customFormat="false" ht="15" hidden="false" customHeight="false" outlineLevel="0" collapsed="false">
      <c r="A102" s="6" t="s">
        <v>128</v>
      </c>
      <c r="B102" s="6" t="s">
        <v>22</v>
      </c>
      <c r="C102" s="6" t="n">
        <v>60</v>
      </c>
      <c r="D102" s="6" t="s">
        <v>31</v>
      </c>
      <c r="E102" s="6" t="n">
        <v>40.1</v>
      </c>
      <c r="F102" s="6" t="n">
        <v>98.5</v>
      </c>
      <c r="G102" s="6" t="s">
        <v>127</v>
      </c>
    </row>
    <row r="103" customFormat="false" ht="15" hidden="false" customHeight="false" outlineLevel="0" collapsed="false">
      <c r="A103" s="6" t="s">
        <v>128</v>
      </c>
      <c r="B103" s="6" t="s">
        <v>22</v>
      </c>
      <c r="C103" s="6" t="n">
        <v>60</v>
      </c>
      <c r="D103" s="6" t="s">
        <v>32</v>
      </c>
      <c r="E103" s="6" t="n">
        <v>38</v>
      </c>
      <c r="F103" s="6" t="n">
        <v>98</v>
      </c>
      <c r="G103" s="6" t="s">
        <v>127</v>
      </c>
    </row>
    <row r="104" customFormat="false" ht="15" hidden="false" customHeight="false" outlineLevel="0" collapsed="false">
      <c r="A104" s="6" t="s">
        <v>128</v>
      </c>
      <c r="B104" s="6" t="s">
        <v>22</v>
      </c>
      <c r="C104" s="6" t="n">
        <v>60</v>
      </c>
      <c r="D104" s="6" t="s">
        <v>33</v>
      </c>
      <c r="E104" s="6" t="n">
        <v>41.8</v>
      </c>
      <c r="F104" s="6" t="n">
        <v>98</v>
      </c>
      <c r="G104" s="6" t="s">
        <v>127</v>
      </c>
    </row>
    <row r="105" customFormat="false" ht="15" hidden="false" customHeight="false" outlineLevel="0" collapsed="false">
      <c r="A105" s="6" t="s">
        <v>128</v>
      </c>
      <c r="B105" s="6" t="s">
        <v>22</v>
      </c>
      <c r="C105" s="6" t="n">
        <v>60</v>
      </c>
      <c r="D105" s="6" t="s">
        <v>34</v>
      </c>
      <c r="E105" s="6" t="n">
        <v>40.4</v>
      </c>
      <c r="F105" s="6" t="n">
        <v>98.1</v>
      </c>
      <c r="G105" s="6" t="s">
        <v>127</v>
      </c>
    </row>
    <row r="106" customFormat="false" ht="15" hidden="false" customHeight="false" outlineLevel="0" collapsed="false">
      <c r="A106" s="6" t="s">
        <v>128</v>
      </c>
      <c r="B106" s="6" t="s">
        <v>22</v>
      </c>
      <c r="C106" s="6" t="n">
        <v>60</v>
      </c>
      <c r="D106" s="6" t="s">
        <v>35</v>
      </c>
      <c r="E106" s="6" t="n">
        <v>42.8</v>
      </c>
      <c r="F106" s="6" t="n">
        <v>98.3</v>
      </c>
      <c r="G106" s="6" t="s">
        <v>127</v>
      </c>
    </row>
    <row r="107" customFormat="false" ht="15" hidden="false" customHeight="false" outlineLevel="0" collapsed="false">
      <c r="A107" s="6" t="s">
        <v>128</v>
      </c>
      <c r="B107" s="6" t="s">
        <v>22</v>
      </c>
      <c r="C107" s="6" t="n">
        <v>60</v>
      </c>
      <c r="D107" s="6" t="s">
        <v>36</v>
      </c>
      <c r="E107" s="6" t="n">
        <v>40.4</v>
      </c>
      <c r="F107" s="6" t="n">
        <v>96.5</v>
      </c>
      <c r="G107" s="6" t="s">
        <v>127</v>
      </c>
    </row>
    <row r="108" customFormat="false" ht="15" hidden="false" customHeight="false" outlineLevel="0" collapsed="false">
      <c r="A108" s="6" t="s">
        <v>128</v>
      </c>
      <c r="B108" s="6" t="s">
        <v>22</v>
      </c>
      <c r="C108" s="6" t="n">
        <v>60</v>
      </c>
      <c r="D108" s="6" t="s">
        <v>37</v>
      </c>
      <c r="E108" s="6" t="n">
        <v>34.7</v>
      </c>
      <c r="F108" s="6" t="n">
        <v>96.3</v>
      </c>
      <c r="G108" s="6" t="s">
        <v>127</v>
      </c>
    </row>
    <row r="109" customFormat="false" ht="15" hidden="false" customHeight="false" outlineLevel="0" collapsed="false">
      <c r="A109" s="6" t="s">
        <v>128</v>
      </c>
      <c r="B109" s="6" t="s">
        <v>22</v>
      </c>
      <c r="C109" s="6" t="n">
        <v>60</v>
      </c>
      <c r="D109" s="6" t="s">
        <v>38</v>
      </c>
      <c r="E109" s="6" t="n">
        <v>35</v>
      </c>
      <c r="F109" s="6" t="n">
        <v>98.2</v>
      </c>
      <c r="G109" s="6" t="s">
        <v>127</v>
      </c>
    </row>
    <row r="110" customFormat="false" ht="15" hidden="false" customHeight="false" outlineLevel="0" collapsed="false">
      <c r="A110" s="6" t="s">
        <v>128</v>
      </c>
      <c r="B110" s="6" t="s">
        <v>22</v>
      </c>
      <c r="C110" s="6" t="n">
        <v>60</v>
      </c>
      <c r="D110" s="6" t="s">
        <v>39</v>
      </c>
      <c r="E110" s="6" t="n">
        <v>33.6</v>
      </c>
      <c r="F110" s="6" t="n">
        <v>96.5</v>
      </c>
      <c r="G110" s="6" t="s">
        <v>127</v>
      </c>
    </row>
    <row r="111" customFormat="false" ht="15" hidden="false" customHeight="false" outlineLevel="0" collapsed="false">
      <c r="A111" s="6" t="s">
        <v>128</v>
      </c>
      <c r="B111" s="6" t="s">
        <v>22</v>
      </c>
      <c r="C111" s="6" t="n">
        <v>60</v>
      </c>
      <c r="D111" s="6" t="s">
        <v>40</v>
      </c>
      <c r="E111" s="6" t="n">
        <v>35.2</v>
      </c>
      <c r="F111" s="6" t="n">
        <v>95.3</v>
      </c>
      <c r="G111" s="6" t="s">
        <v>127</v>
      </c>
    </row>
    <row r="112" customFormat="false" ht="15" hidden="false" customHeight="false" outlineLevel="0" collapsed="false">
      <c r="A112" s="6" t="s">
        <v>128</v>
      </c>
      <c r="B112" s="6" t="s">
        <v>22</v>
      </c>
      <c r="C112" s="6" t="n">
        <v>60</v>
      </c>
      <c r="D112" s="6" t="s">
        <v>41</v>
      </c>
      <c r="E112" s="6" t="n">
        <v>37.2</v>
      </c>
      <c r="F112" s="6" t="n">
        <v>97</v>
      </c>
      <c r="G112" s="6" t="s">
        <v>127</v>
      </c>
    </row>
    <row r="113" customFormat="false" ht="15" hidden="false" customHeight="false" outlineLevel="0" collapsed="false">
      <c r="A113" s="6" t="s">
        <v>128</v>
      </c>
      <c r="B113" s="6" t="s">
        <v>22</v>
      </c>
      <c r="C113" s="6" t="n">
        <v>60</v>
      </c>
      <c r="D113" s="6" t="s">
        <v>42</v>
      </c>
      <c r="E113" s="6" t="n">
        <v>33.1</v>
      </c>
      <c r="F113" s="6" t="n">
        <v>96.8</v>
      </c>
      <c r="G113" s="6" t="s">
        <v>127</v>
      </c>
    </row>
    <row r="114" customFormat="false" ht="15" hidden="false" customHeight="false" outlineLevel="0" collapsed="false">
      <c r="A114" s="6" t="s">
        <v>128</v>
      </c>
      <c r="B114" s="6" t="s">
        <v>22</v>
      </c>
      <c r="C114" s="6" t="n">
        <v>60</v>
      </c>
      <c r="D114" s="6" t="s">
        <v>43</v>
      </c>
      <c r="E114" s="6" t="n">
        <v>30.2</v>
      </c>
      <c r="F114" s="6" t="n">
        <v>94.6</v>
      </c>
      <c r="G114" s="6" t="s">
        <v>127</v>
      </c>
    </row>
    <row r="115" customFormat="false" ht="15" hidden="false" customHeight="false" outlineLevel="0" collapsed="false">
      <c r="A115" s="6" t="s">
        <v>128</v>
      </c>
      <c r="B115" s="6" t="s">
        <v>22</v>
      </c>
      <c r="C115" s="6" t="n">
        <v>60</v>
      </c>
      <c r="D115" s="6" t="s">
        <v>44</v>
      </c>
      <c r="E115" s="6" t="n">
        <v>36</v>
      </c>
      <c r="F115" s="6" t="n">
        <v>96.2</v>
      </c>
      <c r="G115" s="6" t="s">
        <v>127</v>
      </c>
    </row>
    <row r="116" customFormat="false" ht="15" hidden="false" customHeight="false" outlineLevel="0" collapsed="false">
      <c r="A116" s="6" t="s">
        <v>128</v>
      </c>
      <c r="B116" s="6" t="s">
        <v>22</v>
      </c>
      <c r="C116" s="6" t="n">
        <v>60</v>
      </c>
      <c r="D116" s="6" t="s">
        <v>45</v>
      </c>
      <c r="E116" s="6" t="n">
        <v>42.2</v>
      </c>
      <c r="F116" s="6" t="n">
        <v>96.5</v>
      </c>
      <c r="G116" s="6" t="s">
        <v>127</v>
      </c>
    </row>
    <row r="117" customFormat="false" ht="15" hidden="false" customHeight="false" outlineLevel="0" collapsed="false">
      <c r="A117" s="6" t="s">
        <v>128</v>
      </c>
      <c r="B117" s="6" t="s">
        <v>22</v>
      </c>
      <c r="C117" s="6" t="n">
        <v>60</v>
      </c>
      <c r="D117" s="6" t="s">
        <v>46</v>
      </c>
      <c r="E117" s="6" t="n">
        <v>46.1</v>
      </c>
      <c r="F117" s="6" t="n">
        <v>95.9</v>
      </c>
      <c r="G117" s="6" t="s">
        <v>127</v>
      </c>
    </row>
    <row r="118" customFormat="false" ht="15" hidden="false" customHeight="false" outlineLevel="0" collapsed="false">
      <c r="A118" s="6" t="s">
        <v>128</v>
      </c>
      <c r="B118" s="6" t="s">
        <v>22</v>
      </c>
      <c r="C118" s="6" t="n">
        <v>60</v>
      </c>
      <c r="D118" s="6" t="s">
        <v>47</v>
      </c>
      <c r="E118" s="6" t="n">
        <v>40</v>
      </c>
      <c r="F118" s="6" t="n">
        <v>96</v>
      </c>
      <c r="G118" s="6" t="s">
        <v>127</v>
      </c>
    </row>
    <row r="119" customFormat="false" ht="15" hidden="false" customHeight="false" outlineLevel="0" collapsed="false">
      <c r="A119" s="6" t="s">
        <v>128</v>
      </c>
      <c r="B119" s="6" t="s">
        <v>22</v>
      </c>
      <c r="C119" s="6" t="n">
        <v>60</v>
      </c>
      <c r="D119" s="6" t="s">
        <v>48</v>
      </c>
      <c r="E119" s="6" t="n">
        <v>35.7</v>
      </c>
      <c r="F119" s="6" t="n">
        <v>93.8</v>
      </c>
      <c r="G119" s="6" t="s">
        <v>127</v>
      </c>
    </row>
    <row r="120" customFormat="false" ht="15" hidden="false" customHeight="false" outlineLevel="0" collapsed="false">
      <c r="A120" s="6" t="s">
        <v>128</v>
      </c>
      <c r="B120" s="6" t="s">
        <v>22</v>
      </c>
      <c r="C120" s="6" t="n">
        <v>60</v>
      </c>
      <c r="D120" s="6" t="s">
        <v>49</v>
      </c>
      <c r="E120" s="6" t="n">
        <v>32</v>
      </c>
      <c r="F120" s="6" t="n">
        <v>95.3</v>
      </c>
      <c r="G120" s="6" t="s">
        <v>127</v>
      </c>
    </row>
    <row r="121" customFormat="false" ht="15" hidden="false" customHeight="false" outlineLevel="0" collapsed="false">
      <c r="A121" s="6" t="s">
        <v>128</v>
      </c>
      <c r="B121" s="6" t="s">
        <v>22</v>
      </c>
      <c r="C121" s="6" t="n">
        <v>60</v>
      </c>
      <c r="D121" s="6" t="s">
        <v>50</v>
      </c>
      <c r="E121" s="6" t="n">
        <v>32.6</v>
      </c>
      <c r="F121" s="6" t="n">
        <v>94.5</v>
      </c>
      <c r="G121" s="6" t="s">
        <v>127</v>
      </c>
    </row>
    <row r="122" customFormat="false" ht="15" hidden="false" customHeight="false" outlineLevel="0" collapsed="false">
      <c r="A122" s="6" t="s">
        <v>128</v>
      </c>
      <c r="B122" s="6" t="s">
        <v>22</v>
      </c>
      <c r="C122" s="6" t="n">
        <v>60</v>
      </c>
      <c r="D122" s="6" t="s">
        <v>51</v>
      </c>
      <c r="E122" s="6" t="n">
        <v>30.5</v>
      </c>
      <c r="F122" s="6" t="n">
        <v>94.1</v>
      </c>
      <c r="G122" s="6" t="s">
        <v>127</v>
      </c>
    </row>
    <row r="123" customFormat="false" ht="15" hidden="false" customHeight="false" outlineLevel="0" collapsed="false">
      <c r="A123" s="6" t="s">
        <v>128</v>
      </c>
      <c r="B123" s="6" t="s">
        <v>22</v>
      </c>
      <c r="C123" s="6" t="n">
        <v>60</v>
      </c>
      <c r="D123" s="6" t="s">
        <v>52</v>
      </c>
      <c r="E123" s="6" t="n">
        <v>29.1</v>
      </c>
      <c r="F123" s="6" t="n">
        <v>95.3</v>
      </c>
      <c r="G123" s="6" t="s">
        <v>127</v>
      </c>
    </row>
    <row r="124" customFormat="false" ht="15" hidden="false" customHeight="false" outlineLevel="0" collapsed="false">
      <c r="A124" s="6" t="s">
        <v>128</v>
      </c>
      <c r="B124" s="6" t="s">
        <v>22</v>
      </c>
      <c r="C124" s="6" t="n">
        <v>60</v>
      </c>
      <c r="D124" s="6" t="s">
        <v>53</v>
      </c>
      <c r="E124" s="6" t="n">
        <v>32.1</v>
      </c>
      <c r="F124" s="6" t="n">
        <v>95.7</v>
      </c>
      <c r="G124" s="6" t="s">
        <v>127</v>
      </c>
    </row>
    <row r="125" customFormat="false" ht="15" hidden="false" customHeight="false" outlineLevel="0" collapsed="false">
      <c r="A125" s="6" t="s">
        <v>128</v>
      </c>
      <c r="B125" s="6" t="s">
        <v>22</v>
      </c>
      <c r="C125" s="6" t="n">
        <v>60</v>
      </c>
      <c r="D125" s="6" t="s">
        <v>54</v>
      </c>
      <c r="E125" s="6" t="n">
        <v>33</v>
      </c>
      <c r="F125" s="6" t="n">
        <v>95.8</v>
      </c>
      <c r="G125" s="6" t="s">
        <v>127</v>
      </c>
    </row>
    <row r="126" customFormat="false" ht="15" hidden="false" customHeight="false" outlineLevel="0" collapsed="false">
      <c r="A126" s="6" t="s">
        <v>128</v>
      </c>
      <c r="B126" s="6" t="s">
        <v>22</v>
      </c>
      <c r="C126" s="6" t="n">
        <v>60</v>
      </c>
      <c r="D126" s="6" t="s">
        <v>55</v>
      </c>
      <c r="E126" s="6" t="n">
        <v>37.2</v>
      </c>
      <c r="F126" s="6" t="n">
        <v>95.2</v>
      </c>
      <c r="G126" s="6" t="s">
        <v>127</v>
      </c>
    </row>
    <row r="127" customFormat="false" ht="15" hidden="false" customHeight="false" outlineLevel="0" collapsed="false">
      <c r="A127" s="6" t="s">
        <v>128</v>
      </c>
      <c r="B127" s="6" t="s">
        <v>22</v>
      </c>
      <c r="C127" s="6" t="n">
        <v>60</v>
      </c>
      <c r="D127" s="6" t="s">
        <v>56</v>
      </c>
      <c r="E127" s="6" t="n">
        <v>39.3</v>
      </c>
      <c r="F127" s="6" t="n">
        <v>93.5</v>
      </c>
      <c r="G127" s="6" t="s">
        <v>127</v>
      </c>
    </row>
    <row r="128" customFormat="false" ht="15" hidden="false" customHeight="false" outlineLevel="0" collapsed="false">
      <c r="A128" s="6" t="s">
        <v>128</v>
      </c>
      <c r="B128" s="6" t="s">
        <v>22</v>
      </c>
      <c r="C128" s="6" t="n">
        <v>60</v>
      </c>
      <c r="D128" s="6" t="s">
        <v>57</v>
      </c>
      <c r="E128" s="6" t="n">
        <v>34.7</v>
      </c>
      <c r="F128" s="6" t="n">
        <v>93.8</v>
      </c>
      <c r="G128" s="6" t="s">
        <v>127</v>
      </c>
    </row>
    <row r="129" customFormat="false" ht="15" hidden="false" customHeight="false" outlineLevel="0" collapsed="false">
      <c r="A129" s="6" t="s">
        <v>128</v>
      </c>
      <c r="B129" s="6" t="s">
        <v>22</v>
      </c>
      <c r="C129" s="6" t="n">
        <v>60</v>
      </c>
      <c r="D129" s="6" t="s">
        <v>58</v>
      </c>
      <c r="E129" s="6" t="n">
        <v>36.4</v>
      </c>
      <c r="F129" s="6" t="n">
        <v>94</v>
      </c>
      <c r="G129" s="6" t="s">
        <v>127</v>
      </c>
    </row>
    <row r="130" customFormat="false" ht="15" hidden="false" customHeight="false" outlineLevel="0" collapsed="false">
      <c r="A130" s="6" t="s">
        <v>128</v>
      </c>
      <c r="B130" s="6" t="s">
        <v>22</v>
      </c>
      <c r="C130" s="6" t="n">
        <v>60</v>
      </c>
      <c r="D130" s="6" t="s">
        <v>59</v>
      </c>
      <c r="E130" s="6" t="n">
        <v>30.6</v>
      </c>
      <c r="F130" s="6" t="n">
        <v>93.2</v>
      </c>
      <c r="G130" s="6" t="s">
        <v>127</v>
      </c>
    </row>
    <row r="131" customFormat="false" ht="15" hidden="false" customHeight="false" outlineLevel="0" collapsed="false">
      <c r="A131" s="6" t="s">
        <v>128</v>
      </c>
      <c r="B131" s="6" t="s">
        <v>22</v>
      </c>
      <c r="C131" s="6" t="n">
        <v>60</v>
      </c>
      <c r="D131" s="6" t="s">
        <v>60</v>
      </c>
      <c r="E131" s="6" t="n">
        <v>35.6</v>
      </c>
      <c r="F131" s="6" t="n">
        <v>93</v>
      </c>
      <c r="G131" s="6" t="s">
        <v>127</v>
      </c>
    </row>
    <row r="132" customFormat="false" ht="15" hidden="false" customHeight="false" outlineLevel="0" collapsed="false">
      <c r="A132" s="6" t="s">
        <v>128</v>
      </c>
      <c r="B132" s="6" t="s">
        <v>22</v>
      </c>
      <c r="C132" s="6" t="n">
        <v>60</v>
      </c>
      <c r="D132" s="6" t="s">
        <v>61</v>
      </c>
      <c r="E132" s="6" t="n">
        <v>35.7</v>
      </c>
      <c r="F132" s="6" t="n">
        <v>93.5</v>
      </c>
      <c r="G132" s="6" t="s">
        <v>127</v>
      </c>
    </row>
    <row r="133" customFormat="false" ht="15" hidden="false" customHeight="false" outlineLevel="0" collapsed="false">
      <c r="A133" s="6" t="s">
        <v>128</v>
      </c>
      <c r="B133" s="6" t="s">
        <v>22</v>
      </c>
      <c r="C133" s="6" t="n">
        <v>60</v>
      </c>
      <c r="D133" s="6" t="s">
        <v>62</v>
      </c>
      <c r="E133" s="6" t="n">
        <v>35.1</v>
      </c>
      <c r="F133" s="6" t="n">
        <v>92.4</v>
      </c>
      <c r="G133" s="6" t="s">
        <v>127</v>
      </c>
    </row>
    <row r="134" customFormat="false" ht="15" hidden="false" customHeight="false" outlineLevel="0" collapsed="false">
      <c r="A134" s="6" t="s">
        <v>128</v>
      </c>
      <c r="B134" s="6" t="s">
        <v>22</v>
      </c>
      <c r="C134" s="6" t="n">
        <v>60</v>
      </c>
      <c r="D134" s="6" t="s">
        <v>63</v>
      </c>
      <c r="E134" s="6" t="n">
        <v>37.3</v>
      </c>
      <c r="F134" s="6" t="n">
        <v>91.6</v>
      </c>
      <c r="G134" s="6" t="s">
        <v>127</v>
      </c>
    </row>
    <row r="135" customFormat="false" ht="15" hidden="false" customHeight="false" outlineLevel="0" collapsed="false">
      <c r="A135" s="6" t="s">
        <v>128</v>
      </c>
      <c r="B135" s="6" t="s">
        <v>22</v>
      </c>
      <c r="C135" s="6" t="n">
        <v>60</v>
      </c>
      <c r="D135" s="6" t="s">
        <v>64</v>
      </c>
      <c r="E135" s="6" t="n">
        <v>31.7</v>
      </c>
      <c r="F135" s="6" t="n">
        <v>91.7</v>
      </c>
      <c r="G135" s="6" t="s">
        <v>127</v>
      </c>
    </row>
    <row r="136" customFormat="false" ht="15" hidden="false" customHeight="false" outlineLevel="0" collapsed="false">
      <c r="A136" s="6" t="s">
        <v>128</v>
      </c>
      <c r="B136" s="6" t="s">
        <v>22</v>
      </c>
      <c r="C136" s="6" t="n">
        <v>60</v>
      </c>
      <c r="D136" s="6" t="s">
        <v>65</v>
      </c>
      <c r="E136" s="6" t="n">
        <v>29.9</v>
      </c>
      <c r="F136" s="6" t="n">
        <v>92.6</v>
      </c>
      <c r="G136" s="6" t="s">
        <v>127</v>
      </c>
    </row>
    <row r="137" customFormat="false" ht="15" hidden="false" customHeight="false" outlineLevel="0" collapsed="false">
      <c r="A137" s="6" t="s">
        <v>128</v>
      </c>
      <c r="B137" s="6" t="s">
        <v>22</v>
      </c>
      <c r="C137" s="6" t="n">
        <v>60</v>
      </c>
      <c r="D137" s="6" t="s">
        <v>66</v>
      </c>
      <c r="E137" s="6" t="n">
        <v>33.8</v>
      </c>
      <c r="F137" s="6" t="n">
        <v>91.7</v>
      </c>
      <c r="G137" s="6" t="s">
        <v>127</v>
      </c>
    </row>
    <row r="138" customFormat="false" ht="15" hidden="false" customHeight="false" outlineLevel="0" collapsed="false">
      <c r="A138" s="6" t="s">
        <v>128</v>
      </c>
      <c r="B138" s="6" t="s">
        <v>22</v>
      </c>
      <c r="C138" s="6" t="n">
        <v>60</v>
      </c>
      <c r="D138" s="6" t="s">
        <v>67</v>
      </c>
      <c r="E138" s="6" t="n">
        <v>38</v>
      </c>
      <c r="F138" s="6" t="n">
        <v>91.9</v>
      </c>
      <c r="G138" s="6" t="s">
        <v>127</v>
      </c>
    </row>
    <row r="139" customFormat="false" ht="15" hidden="false" customHeight="false" outlineLevel="0" collapsed="false">
      <c r="A139" s="6" t="s">
        <v>128</v>
      </c>
      <c r="B139" s="6" t="s">
        <v>22</v>
      </c>
      <c r="C139" s="6" t="n">
        <v>60</v>
      </c>
      <c r="D139" s="6" t="s">
        <v>68</v>
      </c>
      <c r="E139" s="6" t="n">
        <v>36.4</v>
      </c>
      <c r="F139" s="6" t="n">
        <v>92</v>
      </c>
      <c r="G139" s="6" t="s">
        <v>127</v>
      </c>
    </row>
    <row r="140" customFormat="false" ht="15" hidden="false" customHeight="false" outlineLevel="0" collapsed="false">
      <c r="A140" s="6" t="s">
        <v>128</v>
      </c>
      <c r="B140" s="6" t="s">
        <v>22</v>
      </c>
      <c r="C140" s="6" t="n">
        <v>60</v>
      </c>
      <c r="D140" s="6" t="s">
        <v>69</v>
      </c>
      <c r="E140" s="6" t="n">
        <v>35.2</v>
      </c>
      <c r="F140" s="6" t="n">
        <v>90.8</v>
      </c>
      <c r="G140" s="6" t="s">
        <v>127</v>
      </c>
    </row>
    <row r="141" customFormat="false" ht="15" hidden="false" customHeight="false" outlineLevel="0" collapsed="false">
      <c r="A141" s="6" t="s">
        <v>128</v>
      </c>
      <c r="B141" s="6" t="s">
        <v>22</v>
      </c>
      <c r="C141" s="6" t="n">
        <v>60</v>
      </c>
      <c r="D141" s="6" t="s">
        <v>70</v>
      </c>
      <c r="E141" s="6" t="n">
        <v>34.5</v>
      </c>
      <c r="F141" s="6" t="n">
        <v>91.7</v>
      </c>
      <c r="G141" s="6" t="s">
        <v>127</v>
      </c>
    </row>
    <row r="142" customFormat="false" ht="15" hidden="false" customHeight="false" outlineLevel="0" collapsed="false">
      <c r="A142" s="6" t="s">
        <v>128</v>
      </c>
      <c r="B142" s="6" t="s">
        <v>22</v>
      </c>
      <c r="C142" s="6" t="n">
        <v>60</v>
      </c>
      <c r="D142" s="6" t="s">
        <v>71</v>
      </c>
      <c r="E142" s="6" t="n">
        <v>35</v>
      </c>
      <c r="F142" s="6" t="n">
        <v>91.1</v>
      </c>
      <c r="G142" s="6" t="s">
        <v>127</v>
      </c>
    </row>
    <row r="143" customFormat="false" ht="15" hidden="false" customHeight="false" outlineLevel="0" collapsed="false">
      <c r="A143" s="6" t="s">
        <v>128</v>
      </c>
      <c r="B143" s="6" t="s">
        <v>22</v>
      </c>
      <c r="C143" s="6" t="n">
        <v>60</v>
      </c>
      <c r="D143" s="6" t="s">
        <v>72</v>
      </c>
      <c r="E143" s="6" t="n">
        <v>35</v>
      </c>
      <c r="F143" s="6" t="n">
        <v>89.3</v>
      </c>
      <c r="G143" s="6" t="s">
        <v>127</v>
      </c>
    </row>
    <row r="144" customFormat="false" ht="15" hidden="false" customHeight="false" outlineLevel="0" collapsed="false">
      <c r="A144" s="6" t="s">
        <v>128</v>
      </c>
      <c r="B144" s="6" t="s">
        <v>22</v>
      </c>
      <c r="C144" s="6" t="n">
        <v>60</v>
      </c>
      <c r="D144" s="6" t="s">
        <v>73</v>
      </c>
      <c r="E144" s="6" t="n">
        <v>33.4</v>
      </c>
      <c r="F144" s="6" t="n">
        <v>91.8</v>
      </c>
      <c r="G144" s="6" t="s">
        <v>127</v>
      </c>
    </row>
    <row r="145" customFormat="false" ht="15" hidden="false" customHeight="false" outlineLevel="0" collapsed="false">
      <c r="A145" s="6" t="s">
        <v>128</v>
      </c>
      <c r="B145" s="6" t="s">
        <v>22</v>
      </c>
      <c r="C145" s="6" t="n">
        <v>60</v>
      </c>
      <c r="D145" s="6" t="s">
        <v>74</v>
      </c>
      <c r="E145" s="6" t="n">
        <v>27.8</v>
      </c>
      <c r="F145" s="6" t="n">
        <v>89.7</v>
      </c>
      <c r="G145" s="6" t="s">
        <v>127</v>
      </c>
    </row>
    <row r="146" customFormat="false" ht="15" hidden="false" customHeight="false" outlineLevel="0" collapsed="false">
      <c r="A146" s="6" t="s">
        <v>128</v>
      </c>
      <c r="B146" s="6" t="s">
        <v>22</v>
      </c>
      <c r="C146" s="6" t="n">
        <v>60</v>
      </c>
      <c r="D146" s="6" t="s">
        <v>75</v>
      </c>
      <c r="E146" s="6" t="n">
        <v>33.8</v>
      </c>
      <c r="F146" s="6" t="n">
        <v>88.3</v>
      </c>
      <c r="G146" s="6" t="s">
        <v>127</v>
      </c>
    </row>
    <row r="147" customFormat="false" ht="15" hidden="false" customHeight="false" outlineLevel="0" collapsed="false">
      <c r="A147" s="6" t="s">
        <v>128</v>
      </c>
      <c r="B147" s="6" t="s">
        <v>22</v>
      </c>
      <c r="C147" s="6" t="n">
        <v>60</v>
      </c>
      <c r="D147" s="6" t="s">
        <v>76</v>
      </c>
      <c r="E147" s="6" t="n">
        <v>35.8</v>
      </c>
      <c r="F147" s="6" t="n">
        <v>88.8</v>
      </c>
      <c r="G147" s="6" t="s">
        <v>127</v>
      </c>
    </row>
    <row r="148" customFormat="false" ht="15" hidden="false" customHeight="false" outlineLevel="0" collapsed="false">
      <c r="A148" s="6" t="s">
        <v>128</v>
      </c>
      <c r="B148" s="6" t="s">
        <v>22</v>
      </c>
      <c r="C148" s="6" t="n">
        <v>60</v>
      </c>
      <c r="D148" s="6" t="s">
        <v>77</v>
      </c>
      <c r="E148" s="6" t="n">
        <v>37.8</v>
      </c>
      <c r="F148" s="6" t="n">
        <v>88.6</v>
      </c>
      <c r="G148" s="6" t="s">
        <v>127</v>
      </c>
    </row>
    <row r="149" customFormat="false" ht="15" hidden="false" customHeight="false" outlineLevel="0" collapsed="false">
      <c r="A149" s="6" t="s">
        <v>128</v>
      </c>
      <c r="B149" s="6" t="s">
        <v>22</v>
      </c>
      <c r="C149" s="6" t="n">
        <v>60</v>
      </c>
      <c r="D149" s="6" t="s">
        <v>78</v>
      </c>
      <c r="E149" s="6" t="n">
        <v>34.1</v>
      </c>
      <c r="F149" s="6" t="n">
        <v>89.5</v>
      </c>
      <c r="G149" s="6" t="s">
        <v>127</v>
      </c>
    </row>
    <row r="150" customFormat="false" ht="15" hidden="false" customHeight="false" outlineLevel="0" collapsed="false">
      <c r="A150" s="6" t="s">
        <v>128</v>
      </c>
      <c r="B150" s="6" t="s">
        <v>22</v>
      </c>
      <c r="C150" s="6" t="n">
        <v>60</v>
      </c>
      <c r="D150" s="6" t="s">
        <v>79</v>
      </c>
      <c r="E150" s="6" t="n">
        <v>34</v>
      </c>
      <c r="F150" s="6" t="n">
        <v>89</v>
      </c>
      <c r="G150" s="6" t="s">
        <v>127</v>
      </c>
    </row>
    <row r="151" customFormat="false" ht="15" hidden="false" customHeight="false" outlineLevel="0" collapsed="false">
      <c r="A151" s="6" t="s">
        <v>128</v>
      </c>
      <c r="B151" s="6" t="s">
        <v>22</v>
      </c>
      <c r="C151" s="6" t="n">
        <v>60</v>
      </c>
      <c r="D151" s="6" t="s">
        <v>80</v>
      </c>
      <c r="E151" s="6" t="n">
        <v>45.3</v>
      </c>
      <c r="F151" s="6" t="n">
        <v>88.7</v>
      </c>
      <c r="G151" s="6" t="s">
        <v>127</v>
      </c>
    </row>
    <row r="152" customFormat="false" ht="15" hidden="false" customHeight="false" outlineLevel="0" collapsed="false">
      <c r="A152" s="6" t="s">
        <v>128</v>
      </c>
      <c r="B152" s="6" t="s">
        <v>22</v>
      </c>
      <c r="C152" s="6" t="n">
        <v>60</v>
      </c>
      <c r="D152" s="6" t="s">
        <v>81</v>
      </c>
      <c r="E152" s="6" t="n">
        <v>40.3</v>
      </c>
      <c r="F152" s="6" t="n">
        <v>89.5</v>
      </c>
      <c r="G152" s="6" t="s">
        <v>127</v>
      </c>
    </row>
    <row r="153" customFormat="false" ht="15" hidden="false" customHeight="false" outlineLevel="0" collapsed="false">
      <c r="A153" s="6" t="s">
        <v>128</v>
      </c>
      <c r="B153" s="6" t="s">
        <v>22</v>
      </c>
      <c r="C153" s="6" t="n">
        <v>60</v>
      </c>
      <c r="D153" s="6" t="s">
        <v>82</v>
      </c>
      <c r="E153" s="6" t="n">
        <v>41.1</v>
      </c>
      <c r="F153" s="6" t="n">
        <v>89</v>
      </c>
      <c r="G153" s="6" t="s">
        <v>127</v>
      </c>
    </row>
    <row r="154" customFormat="false" ht="15" hidden="false" customHeight="false" outlineLevel="0" collapsed="false">
      <c r="A154" s="6" t="s">
        <v>128</v>
      </c>
      <c r="B154" s="6" t="s">
        <v>22</v>
      </c>
      <c r="C154" s="6" t="n">
        <v>60</v>
      </c>
      <c r="D154" s="6" t="s">
        <v>83</v>
      </c>
      <c r="E154" s="6" t="n">
        <v>36</v>
      </c>
      <c r="F154" s="6" t="n">
        <v>88.8</v>
      </c>
      <c r="G154" s="6" t="s">
        <v>127</v>
      </c>
    </row>
    <row r="155" customFormat="false" ht="15" hidden="false" customHeight="false" outlineLevel="0" collapsed="false">
      <c r="A155" s="6" t="s">
        <v>128</v>
      </c>
      <c r="B155" s="6" t="s">
        <v>22</v>
      </c>
      <c r="C155" s="6" t="n">
        <v>60</v>
      </c>
      <c r="D155" s="6" t="s">
        <v>84</v>
      </c>
      <c r="E155" s="6" t="n">
        <v>44.3</v>
      </c>
      <c r="F155" s="6" t="n">
        <v>88.7</v>
      </c>
      <c r="G155" s="6" t="s">
        <v>127</v>
      </c>
    </row>
    <row r="156" customFormat="false" ht="15" hidden="false" customHeight="false" outlineLevel="0" collapsed="false">
      <c r="A156" s="6" t="s">
        <v>128</v>
      </c>
      <c r="B156" s="6" t="s">
        <v>22</v>
      </c>
      <c r="C156" s="6" t="n">
        <v>60</v>
      </c>
      <c r="D156" s="6" t="s">
        <v>85</v>
      </c>
      <c r="E156" s="6" t="n">
        <v>42.4</v>
      </c>
      <c r="F156" s="6" t="n">
        <v>88.7</v>
      </c>
      <c r="G156" s="6" t="s">
        <v>127</v>
      </c>
    </row>
    <row r="157" customFormat="false" ht="15" hidden="false" customHeight="false" outlineLevel="0" collapsed="false">
      <c r="A157" s="6" t="s">
        <v>128</v>
      </c>
      <c r="B157" s="6" t="s">
        <v>22</v>
      </c>
      <c r="C157" s="6" t="n">
        <v>60</v>
      </c>
      <c r="D157" s="6" t="s">
        <v>86</v>
      </c>
      <c r="E157" s="6" t="n">
        <v>39.3</v>
      </c>
      <c r="F157" s="6" t="n">
        <v>85.8</v>
      </c>
      <c r="G157" s="6" t="s">
        <v>127</v>
      </c>
    </row>
    <row r="158" customFormat="false" ht="15" hidden="false" customHeight="false" outlineLevel="0" collapsed="false">
      <c r="A158" s="6" t="s">
        <v>128</v>
      </c>
      <c r="B158" s="6" t="s">
        <v>22</v>
      </c>
      <c r="C158" s="6" t="n">
        <v>60</v>
      </c>
      <c r="D158" s="6" t="s">
        <v>87</v>
      </c>
      <c r="E158" s="6" t="n">
        <v>36.3</v>
      </c>
      <c r="F158" s="6" t="n">
        <v>87.3</v>
      </c>
      <c r="G158" s="6" t="s">
        <v>127</v>
      </c>
    </row>
    <row r="159" customFormat="false" ht="15" hidden="false" customHeight="false" outlineLevel="0" collapsed="false">
      <c r="A159" s="6" t="s">
        <v>128</v>
      </c>
      <c r="B159" s="6" t="s">
        <v>22</v>
      </c>
      <c r="C159" s="6" t="n">
        <v>60</v>
      </c>
      <c r="D159" s="6" t="s">
        <v>88</v>
      </c>
      <c r="E159" s="6" t="n">
        <v>36.2</v>
      </c>
      <c r="F159" s="6" t="n">
        <v>85.3</v>
      </c>
      <c r="G159" s="6" t="s">
        <v>127</v>
      </c>
    </row>
    <row r="160" customFormat="false" ht="15" hidden="false" customHeight="false" outlineLevel="0" collapsed="false">
      <c r="A160" s="6" t="s">
        <v>128</v>
      </c>
      <c r="B160" s="6" t="s">
        <v>22</v>
      </c>
      <c r="C160" s="6" t="n">
        <v>60</v>
      </c>
      <c r="D160" s="6" t="s">
        <v>89</v>
      </c>
      <c r="E160" s="6" t="n">
        <v>36</v>
      </c>
      <c r="F160" s="6" t="n">
        <v>87.3</v>
      </c>
      <c r="G160" s="6" t="s">
        <v>127</v>
      </c>
    </row>
    <row r="161" customFormat="false" ht="15" hidden="false" customHeight="false" outlineLevel="0" collapsed="false">
      <c r="A161" s="6" t="s">
        <v>128</v>
      </c>
      <c r="B161" s="6" t="s">
        <v>22</v>
      </c>
      <c r="C161" s="6" t="n">
        <v>60</v>
      </c>
      <c r="D161" s="6" t="s">
        <v>90</v>
      </c>
      <c r="E161" s="6" t="n">
        <v>44.2</v>
      </c>
      <c r="F161" s="6" t="n">
        <v>87.1</v>
      </c>
      <c r="G161" s="6" t="s">
        <v>127</v>
      </c>
    </row>
    <row r="162" customFormat="false" ht="15" hidden="false" customHeight="false" outlineLevel="0" collapsed="false">
      <c r="A162" s="6" t="s">
        <v>128</v>
      </c>
      <c r="B162" s="6" t="s">
        <v>22</v>
      </c>
      <c r="C162" s="6" t="n">
        <v>60</v>
      </c>
      <c r="D162" s="6" t="s">
        <v>91</v>
      </c>
      <c r="E162" s="6" t="n">
        <v>44.8</v>
      </c>
      <c r="F162" s="6" t="n">
        <v>88</v>
      </c>
      <c r="G162" s="6" t="s">
        <v>127</v>
      </c>
    </row>
    <row r="163" customFormat="false" ht="15" hidden="false" customHeight="false" outlineLevel="0" collapsed="false">
      <c r="A163" s="6" t="s">
        <v>128</v>
      </c>
      <c r="B163" s="6" t="s">
        <v>22</v>
      </c>
      <c r="C163" s="6" t="n">
        <v>60</v>
      </c>
      <c r="D163" s="6" t="s">
        <v>92</v>
      </c>
      <c r="E163" s="6" t="n">
        <v>43.3</v>
      </c>
      <c r="F163" s="6" t="n">
        <v>87.9</v>
      </c>
      <c r="G163" s="6" t="s">
        <v>127</v>
      </c>
    </row>
    <row r="164" customFormat="false" ht="15" hidden="false" customHeight="false" outlineLevel="0" collapsed="false">
      <c r="A164" s="6" t="s">
        <v>128</v>
      </c>
      <c r="B164" s="6" t="s">
        <v>22</v>
      </c>
      <c r="C164" s="6" t="n">
        <v>60</v>
      </c>
      <c r="D164" s="6" t="s">
        <v>93</v>
      </c>
      <c r="E164" s="6" t="n">
        <v>33.6</v>
      </c>
      <c r="F164" s="6" t="n">
        <v>86.7</v>
      </c>
      <c r="G164" s="6" t="s">
        <v>127</v>
      </c>
    </row>
    <row r="165" customFormat="false" ht="15" hidden="false" customHeight="false" outlineLevel="0" collapsed="false">
      <c r="A165" s="6" t="s">
        <v>128</v>
      </c>
      <c r="B165" s="6" t="s">
        <v>22</v>
      </c>
      <c r="C165" s="6" t="n">
        <v>60</v>
      </c>
      <c r="D165" s="6" t="s">
        <v>94</v>
      </c>
      <c r="E165" s="6" t="n">
        <v>31</v>
      </c>
      <c r="F165" s="6" t="n">
        <v>85.8</v>
      </c>
      <c r="G165" s="6" t="s">
        <v>127</v>
      </c>
    </row>
    <row r="166" customFormat="false" ht="15" hidden="false" customHeight="false" outlineLevel="0" collapsed="false">
      <c r="A166" s="6" t="s">
        <v>128</v>
      </c>
      <c r="B166" s="6" t="s">
        <v>22</v>
      </c>
      <c r="C166" s="6" t="n">
        <v>60</v>
      </c>
      <c r="D166" s="6" t="s">
        <v>95</v>
      </c>
      <c r="E166" s="6" t="n">
        <v>36.2</v>
      </c>
      <c r="F166" s="6" t="n">
        <v>86.6</v>
      </c>
      <c r="G166" s="6" t="s">
        <v>127</v>
      </c>
    </row>
    <row r="167" customFormat="false" ht="15" hidden="false" customHeight="false" outlineLevel="0" collapsed="false">
      <c r="A167" s="6" t="s">
        <v>128</v>
      </c>
      <c r="B167" s="6" t="s">
        <v>22</v>
      </c>
      <c r="C167" s="6" t="n">
        <v>60</v>
      </c>
      <c r="D167" s="6" t="s">
        <v>96</v>
      </c>
      <c r="E167" s="6" t="n">
        <v>38.3</v>
      </c>
      <c r="F167" s="6" t="n">
        <v>85.4</v>
      </c>
      <c r="G167" s="6" t="s">
        <v>127</v>
      </c>
    </row>
    <row r="168" customFormat="false" ht="15" hidden="false" customHeight="false" outlineLevel="0" collapsed="false">
      <c r="A168" s="6" t="s">
        <v>128</v>
      </c>
      <c r="B168" s="6" t="s">
        <v>22</v>
      </c>
      <c r="C168" s="6" t="n">
        <v>60</v>
      </c>
      <c r="D168" s="6" t="s">
        <v>97</v>
      </c>
      <c r="E168" s="6" t="n">
        <v>36.8</v>
      </c>
      <c r="F168" s="6" t="n">
        <v>85.8</v>
      </c>
      <c r="G168" s="6" t="s">
        <v>127</v>
      </c>
    </row>
    <row r="169" customFormat="false" ht="15" hidden="false" customHeight="false" outlineLevel="0" collapsed="false">
      <c r="A169" s="6" t="s">
        <v>128</v>
      </c>
      <c r="B169" s="6" t="s">
        <v>22</v>
      </c>
      <c r="C169" s="6" t="n">
        <v>60</v>
      </c>
      <c r="D169" s="6" t="s">
        <v>98</v>
      </c>
      <c r="E169" s="6" t="n">
        <v>33.8</v>
      </c>
      <c r="F169" s="6" t="n">
        <v>86.6</v>
      </c>
      <c r="G169" s="6" t="s">
        <v>127</v>
      </c>
    </row>
    <row r="170" customFormat="false" ht="15" hidden="false" customHeight="false" outlineLevel="0" collapsed="false">
      <c r="A170" s="6" t="s">
        <v>128</v>
      </c>
      <c r="B170" s="6" t="s">
        <v>22</v>
      </c>
      <c r="C170" s="6" t="n">
        <v>60</v>
      </c>
      <c r="D170" s="6" t="s">
        <v>99</v>
      </c>
      <c r="E170" s="6" t="n">
        <v>33.2</v>
      </c>
      <c r="F170" s="6" t="n">
        <v>84.8</v>
      </c>
      <c r="G170" s="6" t="s">
        <v>127</v>
      </c>
    </row>
    <row r="171" customFormat="false" ht="15" hidden="false" customHeight="false" outlineLevel="0" collapsed="false">
      <c r="A171" s="6" t="s">
        <v>128</v>
      </c>
      <c r="B171" s="6" t="s">
        <v>22</v>
      </c>
      <c r="C171" s="6" t="n">
        <v>60</v>
      </c>
      <c r="D171" s="6" t="s">
        <v>100</v>
      </c>
      <c r="E171" s="6" t="n">
        <v>33.3</v>
      </c>
      <c r="F171" s="6" t="n">
        <v>86</v>
      </c>
      <c r="G171" s="6" t="s">
        <v>127</v>
      </c>
    </row>
    <row r="172" customFormat="false" ht="15" hidden="false" customHeight="false" outlineLevel="0" collapsed="false">
      <c r="A172" s="6" t="s">
        <v>128</v>
      </c>
      <c r="B172" s="6" t="s">
        <v>22</v>
      </c>
      <c r="C172" s="6" t="n">
        <v>60</v>
      </c>
      <c r="D172" s="6" t="s">
        <v>101</v>
      </c>
      <c r="E172" s="6" t="n">
        <v>32.8</v>
      </c>
      <c r="F172" s="6" t="n">
        <v>85.7</v>
      </c>
      <c r="G172" s="6" t="s">
        <v>127</v>
      </c>
    </row>
    <row r="173" customFormat="false" ht="15" hidden="false" customHeight="false" outlineLevel="0" collapsed="false">
      <c r="A173" s="6" t="s">
        <v>128</v>
      </c>
      <c r="B173" s="6" t="s">
        <v>22</v>
      </c>
      <c r="C173" s="6" t="n">
        <v>60</v>
      </c>
      <c r="D173" s="6" t="s">
        <v>102</v>
      </c>
      <c r="E173" s="6" t="n">
        <v>38.4</v>
      </c>
      <c r="F173" s="6" t="n">
        <v>83.8</v>
      </c>
      <c r="G173" s="6" t="s">
        <v>127</v>
      </c>
    </row>
    <row r="174" customFormat="false" ht="15" hidden="false" customHeight="false" outlineLevel="0" collapsed="false">
      <c r="A174" s="6" t="s">
        <v>128</v>
      </c>
      <c r="B174" s="6" t="s">
        <v>22</v>
      </c>
      <c r="C174" s="6" t="n">
        <v>60</v>
      </c>
      <c r="D174" s="6" t="s">
        <v>103</v>
      </c>
      <c r="E174" s="6" t="n">
        <v>47.3</v>
      </c>
      <c r="F174" s="6" t="n">
        <v>85.6</v>
      </c>
      <c r="G174" s="6" t="s">
        <v>127</v>
      </c>
    </row>
    <row r="175" customFormat="false" ht="15" hidden="false" customHeight="false" outlineLevel="0" collapsed="false">
      <c r="A175" s="6" t="s">
        <v>128</v>
      </c>
      <c r="B175" s="6" t="s">
        <v>22</v>
      </c>
      <c r="C175" s="6" t="n">
        <v>60</v>
      </c>
      <c r="D175" s="6" t="s">
        <v>104</v>
      </c>
      <c r="E175" s="6" t="n">
        <v>46.2</v>
      </c>
      <c r="F175" s="6" t="n">
        <v>85.1</v>
      </c>
      <c r="G175" s="6" t="s">
        <v>127</v>
      </c>
    </row>
    <row r="176" customFormat="false" ht="15" hidden="false" customHeight="false" outlineLevel="0" collapsed="false">
      <c r="A176" s="6" t="s">
        <v>128</v>
      </c>
      <c r="B176" s="6" t="s">
        <v>22</v>
      </c>
      <c r="C176" s="6" t="n">
        <v>60</v>
      </c>
      <c r="D176" s="6" t="s">
        <v>105</v>
      </c>
      <c r="E176" s="6" t="n">
        <v>37.8</v>
      </c>
      <c r="F176" s="6" t="n">
        <v>84.3</v>
      </c>
      <c r="G176" s="6" t="s">
        <v>127</v>
      </c>
    </row>
    <row r="177" customFormat="false" ht="15" hidden="false" customHeight="false" outlineLevel="0" collapsed="false">
      <c r="A177" s="6" t="s">
        <v>128</v>
      </c>
      <c r="B177" s="6" t="s">
        <v>22</v>
      </c>
      <c r="C177" s="6" t="n">
        <v>60</v>
      </c>
      <c r="D177" s="6" t="s">
        <v>106</v>
      </c>
      <c r="E177" s="6" t="n">
        <v>36.9</v>
      </c>
      <c r="F177" s="6" t="n">
        <v>83.3</v>
      </c>
      <c r="G177" s="6" t="s">
        <v>127</v>
      </c>
    </row>
    <row r="178" customFormat="false" ht="15" hidden="false" customHeight="false" outlineLevel="0" collapsed="false">
      <c r="A178" s="6" t="s">
        <v>128</v>
      </c>
      <c r="B178" s="6" t="s">
        <v>22</v>
      </c>
      <c r="C178" s="6" t="n">
        <v>60</v>
      </c>
      <c r="D178" s="6" t="s">
        <v>107</v>
      </c>
      <c r="E178" s="6" t="n">
        <v>35.1</v>
      </c>
      <c r="F178" s="6" t="n">
        <v>83</v>
      </c>
      <c r="G178" s="6" t="s">
        <v>127</v>
      </c>
    </row>
    <row r="179" customFormat="false" ht="15" hidden="false" customHeight="false" outlineLevel="0" collapsed="false">
      <c r="A179" s="6" t="s">
        <v>128</v>
      </c>
      <c r="B179" s="6" t="s">
        <v>22</v>
      </c>
      <c r="C179" s="6" t="n">
        <v>60</v>
      </c>
      <c r="D179" s="6" t="s">
        <v>108</v>
      </c>
      <c r="E179" s="6" t="n">
        <v>31.1</v>
      </c>
      <c r="F179" s="6" t="n">
        <v>83.1</v>
      </c>
      <c r="G179" s="6" t="s">
        <v>127</v>
      </c>
    </row>
    <row r="180" customFormat="false" ht="15" hidden="false" customHeight="false" outlineLevel="0" collapsed="false">
      <c r="A180" s="6" t="s">
        <v>128</v>
      </c>
      <c r="B180" s="6" t="s">
        <v>22</v>
      </c>
      <c r="C180" s="6" t="n">
        <v>60</v>
      </c>
      <c r="D180" s="6" t="s">
        <v>109</v>
      </c>
      <c r="E180" s="6" t="n">
        <v>39.9</v>
      </c>
      <c r="F180" s="6" t="n">
        <v>84</v>
      </c>
      <c r="G180" s="6" t="s">
        <v>127</v>
      </c>
    </row>
    <row r="181" customFormat="false" ht="15" hidden="false" customHeight="false" outlineLevel="0" collapsed="false">
      <c r="A181" s="6" t="s">
        <v>128</v>
      </c>
      <c r="B181" s="6" t="s">
        <v>22</v>
      </c>
      <c r="C181" s="6" t="n">
        <v>60</v>
      </c>
      <c r="D181" s="6" t="s">
        <v>110</v>
      </c>
      <c r="E181" s="6" t="n">
        <v>41.4</v>
      </c>
      <c r="F181" s="6" t="n">
        <v>82.3</v>
      </c>
      <c r="G181" s="6" t="s">
        <v>127</v>
      </c>
    </row>
    <row r="182" customFormat="false" ht="15" hidden="false" customHeight="false" outlineLevel="0" collapsed="false">
      <c r="A182" s="6" t="s">
        <v>128</v>
      </c>
      <c r="B182" s="6" t="s">
        <v>22</v>
      </c>
      <c r="C182" s="6" t="n">
        <v>60</v>
      </c>
      <c r="D182" s="6" t="s">
        <v>111</v>
      </c>
      <c r="E182" s="6" t="n">
        <v>45.7</v>
      </c>
      <c r="F182" s="6" t="n">
        <v>83.5</v>
      </c>
      <c r="G182" s="6" t="s">
        <v>127</v>
      </c>
    </row>
    <row r="183" customFormat="false" ht="15" hidden="false" customHeight="false" outlineLevel="0" collapsed="false">
      <c r="A183" s="6" t="s">
        <v>128</v>
      </c>
      <c r="B183" s="6" t="s">
        <v>22</v>
      </c>
      <c r="C183" s="6" t="n">
        <v>60</v>
      </c>
      <c r="D183" s="6" t="s">
        <v>112</v>
      </c>
      <c r="E183" s="6" t="n">
        <v>42</v>
      </c>
      <c r="F183" s="6" t="n">
        <v>81.6</v>
      </c>
      <c r="G183" s="6" t="s">
        <v>127</v>
      </c>
    </row>
    <row r="184" customFormat="false" ht="15" hidden="false" customHeight="false" outlineLevel="0" collapsed="false">
      <c r="A184" s="6" t="s">
        <v>128</v>
      </c>
      <c r="B184" s="6" t="s">
        <v>22</v>
      </c>
      <c r="C184" s="6" t="n">
        <v>60</v>
      </c>
      <c r="D184" s="6" t="s">
        <v>113</v>
      </c>
      <c r="E184" s="6" t="n">
        <v>40.2</v>
      </c>
      <c r="F184" s="6" t="n">
        <v>82.5</v>
      </c>
      <c r="G184" s="6" t="s">
        <v>127</v>
      </c>
    </row>
    <row r="185" customFormat="false" ht="15" hidden="false" customHeight="false" outlineLevel="0" collapsed="false">
      <c r="A185" s="6" t="s">
        <v>128</v>
      </c>
      <c r="B185" s="6" t="s">
        <v>22</v>
      </c>
      <c r="C185" s="6" t="n">
        <v>60</v>
      </c>
      <c r="D185" s="6" t="s">
        <v>114</v>
      </c>
      <c r="E185" s="6" t="n">
        <v>36.1</v>
      </c>
      <c r="F185" s="6" t="n">
        <v>82.6</v>
      </c>
      <c r="G185" s="6" t="s">
        <v>127</v>
      </c>
    </row>
    <row r="186" customFormat="false" ht="15" hidden="false" customHeight="false" outlineLevel="0" collapsed="false">
      <c r="A186" s="6" t="s">
        <v>129</v>
      </c>
      <c r="B186" s="6" t="s">
        <v>116</v>
      </c>
      <c r="C186" s="6" t="n">
        <v>30</v>
      </c>
      <c r="D186" s="6" t="s">
        <v>23</v>
      </c>
      <c r="E186" s="6" t="n">
        <v>26.5</v>
      </c>
      <c r="F186" s="6" t="n">
        <v>100</v>
      </c>
      <c r="G186" s="6" t="s">
        <v>127</v>
      </c>
    </row>
    <row r="187" customFormat="false" ht="15" hidden="false" customHeight="false" outlineLevel="0" collapsed="false">
      <c r="A187" s="6" t="s">
        <v>129</v>
      </c>
      <c r="B187" s="6" t="s">
        <v>116</v>
      </c>
      <c r="C187" s="6" t="n">
        <v>30</v>
      </c>
      <c r="D187" s="6" t="s">
        <v>24</v>
      </c>
      <c r="E187" s="6" t="n">
        <v>22.7</v>
      </c>
      <c r="F187" s="6" t="n">
        <v>99.4</v>
      </c>
      <c r="G187" s="6" t="s">
        <v>127</v>
      </c>
    </row>
    <row r="188" customFormat="false" ht="15" hidden="false" customHeight="false" outlineLevel="0" collapsed="false">
      <c r="A188" s="6" t="s">
        <v>129</v>
      </c>
      <c r="B188" s="6" t="s">
        <v>116</v>
      </c>
      <c r="C188" s="6" t="n">
        <v>30</v>
      </c>
      <c r="D188" s="6" t="s">
        <v>25</v>
      </c>
      <c r="E188" s="6" t="n">
        <v>29.4</v>
      </c>
      <c r="F188" s="6" t="n">
        <v>100</v>
      </c>
      <c r="G188" s="6" t="s">
        <v>127</v>
      </c>
    </row>
    <row r="189" customFormat="false" ht="15" hidden="false" customHeight="false" outlineLevel="0" collapsed="false">
      <c r="A189" s="6" t="s">
        <v>129</v>
      </c>
      <c r="B189" s="6" t="s">
        <v>116</v>
      </c>
      <c r="C189" s="6" t="n">
        <v>30</v>
      </c>
      <c r="D189" s="6" t="s">
        <v>26</v>
      </c>
      <c r="E189" s="6" t="n">
        <v>37.5</v>
      </c>
      <c r="F189" s="6" t="n">
        <v>100</v>
      </c>
      <c r="G189" s="6" t="s">
        <v>127</v>
      </c>
    </row>
    <row r="190" customFormat="false" ht="15" hidden="false" customHeight="false" outlineLevel="0" collapsed="false">
      <c r="A190" s="6" t="s">
        <v>129</v>
      </c>
      <c r="B190" s="6" t="s">
        <v>116</v>
      </c>
      <c r="C190" s="6" t="n">
        <v>30</v>
      </c>
      <c r="D190" s="6" t="s">
        <v>27</v>
      </c>
      <c r="E190" s="6" t="n">
        <v>41.8</v>
      </c>
      <c r="F190" s="6" t="n">
        <v>99.5</v>
      </c>
      <c r="G190" s="6" t="s">
        <v>127</v>
      </c>
    </row>
    <row r="191" customFormat="false" ht="15" hidden="false" customHeight="false" outlineLevel="0" collapsed="false">
      <c r="A191" s="6" t="s">
        <v>129</v>
      </c>
      <c r="B191" s="6" t="s">
        <v>116</v>
      </c>
      <c r="C191" s="6" t="n">
        <v>30</v>
      </c>
      <c r="D191" s="6" t="s">
        <v>28</v>
      </c>
      <c r="E191" s="6" t="n">
        <v>41.7</v>
      </c>
      <c r="F191" s="6" t="n">
        <v>100</v>
      </c>
      <c r="G191" s="6" t="s">
        <v>127</v>
      </c>
    </row>
    <row r="192" customFormat="false" ht="15" hidden="false" customHeight="false" outlineLevel="0" collapsed="false">
      <c r="A192" s="6" t="s">
        <v>129</v>
      </c>
      <c r="B192" s="6" t="s">
        <v>116</v>
      </c>
      <c r="C192" s="6" t="n">
        <v>30</v>
      </c>
      <c r="D192" s="6" t="s">
        <v>29</v>
      </c>
      <c r="E192" s="6" t="n">
        <v>31.8</v>
      </c>
      <c r="F192" s="6" t="n">
        <v>99.2</v>
      </c>
      <c r="G192" s="6" t="s">
        <v>127</v>
      </c>
    </row>
    <row r="193" customFormat="false" ht="15" hidden="false" customHeight="false" outlineLevel="0" collapsed="false">
      <c r="A193" s="6" t="s">
        <v>129</v>
      </c>
      <c r="B193" s="6" t="s">
        <v>116</v>
      </c>
      <c r="C193" s="6" t="n">
        <v>30</v>
      </c>
      <c r="D193" s="6" t="s">
        <v>30</v>
      </c>
      <c r="E193" s="6" t="n">
        <v>27.1</v>
      </c>
      <c r="F193" s="6" t="n">
        <v>98.2</v>
      </c>
      <c r="G193" s="6" t="s">
        <v>127</v>
      </c>
    </row>
    <row r="194" customFormat="false" ht="15" hidden="false" customHeight="false" outlineLevel="0" collapsed="false">
      <c r="A194" s="6" t="s">
        <v>129</v>
      </c>
      <c r="B194" s="6" t="s">
        <v>116</v>
      </c>
      <c r="C194" s="6" t="n">
        <v>30</v>
      </c>
      <c r="D194" s="6" t="s">
        <v>31</v>
      </c>
      <c r="E194" s="6" t="n">
        <v>27.8</v>
      </c>
      <c r="F194" s="6" t="n">
        <v>99.3</v>
      </c>
      <c r="G194" s="6" t="s">
        <v>127</v>
      </c>
    </row>
    <row r="195" customFormat="false" ht="15" hidden="false" customHeight="false" outlineLevel="0" collapsed="false">
      <c r="A195" s="6" t="s">
        <v>129</v>
      </c>
      <c r="B195" s="6" t="s">
        <v>116</v>
      </c>
      <c r="C195" s="6" t="n">
        <v>30</v>
      </c>
      <c r="D195" s="6" t="s">
        <v>32</v>
      </c>
      <c r="E195" s="6" t="n">
        <v>26</v>
      </c>
      <c r="F195" s="6" t="n">
        <v>98.5</v>
      </c>
      <c r="G195" s="6" t="s">
        <v>127</v>
      </c>
    </row>
    <row r="196" customFormat="false" ht="15" hidden="false" customHeight="false" outlineLevel="0" collapsed="false">
      <c r="A196" s="6" t="s">
        <v>129</v>
      </c>
      <c r="B196" s="6" t="s">
        <v>116</v>
      </c>
      <c r="C196" s="6" t="n">
        <v>30</v>
      </c>
      <c r="D196" s="6" t="s">
        <v>33</v>
      </c>
      <c r="E196" s="6" t="n">
        <v>34.4</v>
      </c>
      <c r="F196" s="6" t="n">
        <v>98.3</v>
      </c>
      <c r="G196" s="6" t="s">
        <v>127</v>
      </c>
    </row>
    <row r="197" customFormat="false" ht="15" hidden="false" customHeight="false" outlineLevel="0" collapsed="false">
      <c r="A197" s="6" t="s">
        <v>129</v>
      </c>
      <c r="B197" s="6" t="s">
        <v>116</v>
      </c>
      <c r="C197" s="6" t="n">
        <v>30</v>
      </c>
      <c r="D197" s="6" t="s">
        <v>34</v>
      </c>
      <c r="E197" s="6" t="n">
        <v>40.9</v>
      </c>
      <c r="F197" s="6" t="n">
        <v>99.6</v>
      </c>
      <c r="G197" s="6" t="s">
        <v>127</v>
      </c>
    </row>
    <row r="198" customFormat="false" ht="15" hidden="false" customHeight="false" outlineLevel="0" collapsed="false">
      <c r="A198" s="6" t="s">
        <v>129</v>
      </c>
      <c r="B198" s="6" t="s">
        <v>116</v>
      </c>
      <c r="C198" s="6" t="n">
        <v>30</v>
      </c>
      <c r="D198" s="6" t="s">
        <v>35</v>
      </c>
      <c r="E198" s="6" t="n">
        <v>41.4</v>
      </c>
      <c r="F198" s="6" t="n">
        <v>95.5</v>
      </c>
      <c r="G198" s="6" t="s">
        <v>127</v>
      </c>
    </row>
    <row r="199" customFormat="false" ht="15" hidden="false" customHeight="false" outlineLevel="0" collapsed="false">
      <c r="A199" s="6" t="s">
        <v>129</v>
      </c>
      <c r="B199" s="6" t="s">
        <v>116</v>
      </c>
      <c r="C199" s="6" t="n">
        <v>30</v>
      </c>
      <c r="D199" s="6" t="s">
        <v>36</v>
      </c>
      <c r="E199" s="6" t="n">
        <v>45.2</v>
      </c>
      <c r="F199" s="6" t="n">
        <v>96.3</v>
      </c>
      <c r="G199" s="6" t="s">
        <v>127</v>
      </c>
    </row>
    <row r="200" customFormat="false" ht="15" hidden="false" customHeight="false" outlineLevel="0" collapsed="false">
      <c r="A200" s="6" t="s">
        <v>129</v>
      </c>
      <c r="B200" s="6" t="s">
        <v>116</v>
      </c>
      <c r="C200" s="6" t="n">
        <v>30</v>
      </c>
      <c r="D200" s="6" t="s">
        <v>37</v>
      </c>
      <c r="E200" s="6" t="n">
        <v>37.7</v>
      </c>
      <c r="F200" s="6" t="n">
        <v>96.4</v>
      </c>
      <c r="G200" s="6" t="s">
        <v>127</v>
      </c>
    </row>
    <row r="201" customFormat="false" ht="15" hidden="false" customHeight="false" outlineLevel="0" collapsed="false">
      <c r="A201" s="6" t="s">
        <v>129</v>
      </c>
      <c r="B201" s="6" t="s">
        <v>116</v>
      </c>
      <c r="C201" s="6" t="n">
        <v>30</v>
      </c>
      <c r="D201" s="6" t="s">
        <v>38</v>
      </c>
      <c r="E201" s="6" t="n">
        <v>41.9</v>
      </c>
      <c r="F201" s="6" t="n">
        <v>97</v>
      </c>
      <c r="G201" s="6" t="s">
        <v>127</v>
      </c>
    </row>
    <row r="202" customFormat="false" ht="15" hidden="false" customHeight="false" outlineLevel="0" collapsed="false">
      <c r="A202" s="6" t="s">
        <v>129</v>
      </c>
      <c r="B202" s="6" t="s">
        <v>116</v>
      </c>
      <c r="C202" s="6" t="n">
        <v>30</v>
      </c>
      <c r="D202" s="6" t="s">
        <v>39</v>
      </c>
      <c r="E202" s="6" t="n">
        <v>28.5</v>
      </c>
      <c r="F202" s="6" t="n">
        <v>97</v>
      </c>
      <c r="G202" s="6" t="s">
        <v>127</v>
      </c>
    </row>
    <row r="203" customFormat="false" ht="15" hidden="false" customHeight="false" outlineLevel="0" collapsed="false">
      <c r="A203" s="6" t="s">
        <v>129</v>
      </c>
      <c r="B203" s="6" t="s">
        <v>116</v>
      </c>
      <c r="C203" s="6" t="n">
        <v>30</v>
      </c>
      <c r="D203" s="6" t="s">
        <v>40</v>
      </c>
      <c r="E203" s="6" t="n">
        <v>29.1</v>
      </c>
      <c r="F203" s="6" t="n">
        <v>95.5</v>
      </c>
      <c r="G203" s="6" t="s">
        <v>127</v>
      </c>
    </row>
    <row r="204" customFormat="false" ht="15" hidden="false" customHeight="false" outlineLevel="0" collapsed="false">
      <c r="A204" s="6" t="s">
        <v>129</v>
      </c>
      <c r="B204" s="6" t="s">
        <v>116</v>
      </c>
      <c r="C204" s="6" t="n">
        <v>30</v>
      </c>
      <c r="D204" s="6" t="s">
        <v>41</v>
      </c>
      <c r="E204" s="6" t="n">
        <v>33.2</v>
      </c>
      <c r="F204" s="6" t="n">
        <v>95.9</v>
      </c>
      <c r="G204" s="6" t="s">
        <v>127</v>
      </c>
    </row>
    <row r="205" customFormat="false" ht="15" hidden="false" customHeight="false" outlineLevel="0" collapsed="false">
      <c r="A205" s="6" t="s">
        <v>129</v>
      </c>
      <c r="B205" s="6" t="s">
        <v>116</v>
      </c>
      <c r="C205" s="6" t="n">
        <v>30</v>
      </c>
      <c r="D205" s="6" t="s">
        <v>42</v>
      </c>
      <c r="E205" s="6" t="n">
        <v>33.6</v>
      </c>
      <c r="F205" s="6" t="n">
        <v>95.8</v>
      </c>
      <c r="G205" s="6" t="s">
        <v>127</v>
      </c>
    </row>
    <row r="206" customFormat="false" ht="15" hidden="false" customHeight="false" outlineLevel="0" collapsed="false">
      <c r="A206" s="6" t="s">
        <v>129</v>
      </c>
      <c r="B206" s="6" t="s">
        <v>116</v>
      </c>
      <c r="C206" s="6" t="n">
        <v>30</v>
      </c>
      <c r="D206" s="6" t="s">
        <v>43</v>
      </c>
      <c r="E206" s="6" t="n">
        <v>32.7</v>
      </c>
      <c r="F206" s="6" t="n">
        <v>99</v>
      </c>
      <c r="G206" s="6" t="s">
        <v>127</v>
      </c>
    </row>
    <row r="207" customFormat="false" ht="15" hidden="false" customHeight="false" outlineLevel="0" collapsed="false">
      <c r="A207" s="6" t="s">
        <v>129</v>
      </c>
      <c r="B207" s="6" t="s">
        <v>116</v>
      </c>
      <c r="C207" s="6" t="n">
        <v>30</v>
      </c>
      <c r="D207" s="6" t="s">
        <v>44</v>
      </c>
      <c r="E207" s="6" t="n">
        <v>25.9</v>
      </c>
      <c r="F207" s="6" t="n">
        <v>98.2</v>
      </c>
      <c r="G207" s="6" t="s">
        <v>127</v>
      </c>
    </row>
    <row r="208" customFormat="false" ht="15" hidden="false" customHeight="false" outlineLevel="0" collapsed="false">
      <c r="A208" s="6" t="s">
        <v>129</v>
      </c>
      <c r="B208" s="6" t="s">
        <v>116</v>
      </c>
      <c r="C208" s="6" t="n">
        <v>30</v>
      </c>
      <c r="D208" s="6" t="s">
        <v>45</v>
      </c>
      <c r="E208" s="6" t="n">
        <v>35.1</v>
      </c>
      <c r="F208" s="6" t="n">
        <v>95.8</v>
      </c>
      <c r="G208" s="6" t="s">
        <v>127</v>
      </c>
    </row>
    <row r="209" customFormat="false" ht="15" hidden="false" customHeight="false" outlineLevel="0" collapsed="false">
      <c r="A209" s="6" t="s">
        <v>129</v>
      </c>
      <c r="B209" s="6" t="s">
        <v>116</v>
      </c>
      <c r="C209" s="6" t="n">
        <v>30</v>
      </c>
      <c r="D209" s="6" t="s">
        <v>46</v>
      </c>
      <c r="E209" s="6" t="n">
        <v>34.4</v>
      </c>
      <c r="F209" s="6" t="n">
        <v>95.6</v>
      </c>
      <c r="G209" s="6" t="s">
        <v>127</v>
      </c>
    </row>
    <row r="210" customFormat="false" ht="15" hidden="false" customHeight="false" outlineLevel="0" collapsed="false">
      <c r="A210" s="6" t="s">
        <v>129</v>
      </c>
      <c r="B210" s="6" t="s">
        <v>116</v>
      </c>
      <c r="C210" s="6" t="n">
        <v>30</v>
      </c>
      <c r="D210" s="6" t="s">
        <v>47</v>
      </c>
      <c r="E210" s="6" t="n">
        <v>52.9</v>
      </c>
      <c r="F210" s="6" t="n">
        <v>94.7</v>
      </c>
      <c r="G210" s="6" t="s">
        <v>127</v>
      </c>
    </row>
    <row r="211" customFormat="false" ht="15" hidden="false" customHeight="false" outlineLevel="0" collapsed="false">
      <c r="A211" s="6" t="s">
        <v>129</v>
      </c>
      <c r="B211" s="6" t="s">
        <v>116</v>
      </c>
      <c r="C211" s="6" t="n">
        <v>30</v>
      </c>
      <c r="D211" s="6" t="s">
        <v>48</v>
      </c>
      <c r="E211" s="6" t="n">
        <v>39.7</v>
      </c>
      <c r="F211" s="6" t="n">
        <v>93.7</v>
      </c>
      <c r="G211" s="6" t="s">
        <v>127</v>
      </c>
    </row>
    <row r="212" customFormat="false" ht="15" hidden="false" customHeight="false" outlineLevel="0" collapsed="false">
      <c r="A212" s="6" t="s">
        <v>129</v>
      </c>
      <c r="B212" s="6" t="s">
        <v>116</v>
      </c>
      <c r="C212" s="6" t="n">
        <v>30</v>
      </c>
      <c r="D212" s="6" t="s">
        <v>49</v>
      </c>
      <c r="E212" s="6" t="n">
        <v>62</v>
      </c>
      <c r="F212" s="6" t="n">
        <v>95.4</v>
      </c>
      <c r="G212" s="6" t="s">
        <v>127</v>
      </c>
    </row>
    <row r="213" customFormat="false" ht="15" hidden="false" customHeight="false" outlineLevel="0" collapsed="false">
      <c r="A213" s="6" t="s">
        <v>129</v>
      </c>
      <c r="B213" s="6" t="s">
        <v>116</v>
      </c>
      <c r="C213" s="6" t="n">
        <v>30</v>
      </c>
      <c r="D213" s="6" t="s">
        <v>50</v>
      </c>
      <c r="E213" s="6" t="n">
        <v>52.9</v>
      </c>
      <c r="F213" s="6" t="n">
        <v>94.3</v>
      </c>
      <c r="G213" s="6" t="s">
        <v>127</v>
      </c>
    </row>
    <row r="214" customFormat="false" ht="15" hidden="false" customHeight="false" outlineLevel="0" collapsed="false">
      <c r="A214" s="6" t="s">
        <v>129</v>
      </c>
      <c r="B214" s="6" t="s">
        <v>116</v>
      </c>
      <c r="C214" s="6" t="n">
        <v>30</v>
      </c>
      <c r="D214" s="6" t="s">
        <v>51</v>
      </c>
      <c r="E214" s="6" t="n">
        <v>62</v>
      </c>
      <c r="F214" s="6" t="n">
        <v>95</v>
      </c>
      <c r="G214" s="6" t="s">
        <v>127</v>
      </c>
    </row>
    <row r="215" customFormat="false" ht="15" hidden="false" customHeight="false" outlineLevel="0" collapsed="false">
      <c r="A215" s="6" t="s">
        <v>129</v>
      </c>
      <c r="B215" s="6" t="s">
        <v>116</v>
      </c>
      <c r="C215" s="6" t="n">
        <v>30</v>
      </c>
      <c r="D215" s="6" t="s">
        <v>52</v>
      </c>
      <c r="E215" s="6" t="n">
        <v>40.5</v>
      </c>
      <c r="F215" s="6" t="n">
        <v>93.4</v>
      </c>
      <c r="G215" s="6" t="s">
        <v>127</v>
      </c>
    </row>
    <row r="216" customFormat="false" ht="15" hidden="false" customHeight="false" outlineLevel="0" collapsed="false">
      <c r="A216" s="6" t="s">
        <v>129</v>
      </c>
      <c r="B216" s="6" t="s">
        <v>116</v>
      </c>
      <c r="C216" s="6" t="n">
        <v>30</v>
      </c>
      <c r="D216" s="6" t="s">
        <v>53</v>
      </c>
      <c r="E216" s="6" t="n">
        <v>42.8</v>
      </c>
      <c r="F216" s="6" t="n">
        <v>94</v>
      </c>
      <c r="G216" s="6" t="s">
        <v>127</v>
      </c>
    </row>
    <row r="217" customFormat="false" ht="15" hidden="false" customHeight="false" outlineLevel="0" collapsed="false">
      <c r="A217" s="6" t="s">
        <v>129</v>
      </c>
      <c r="B217" s="6" t="s">
        <v>116</v>
      </c>
      <c r="C217" s="6" t="n">
        <v>30</v>
      </c>
      <c r="D217" s="6" t="s">
        <v>54</v>
      </c>
      <c r="E217" s="6" t="n">
        <v>31.7</v>
      </c>
      <c r="F217" s="6" t="n">
        <v>94.8</v>
      </c>
      <c r="G217" s="6" t="s">
        <v>127</v>
      </c>
    </row>
    <row r="218" customFormat="false" ht="15" hidden="false" customHeight="false" outlineLevel="0" collapsed="false">
      <c r="A218" s="6" t="s">
        <v>129</v>
      </c>
      <c r="B218" s="6" t="s">
        <v>116</v>
      </c>
      <c r="C218" s="6" t="n">
        <v>30</v>
      </c>
      <c r="D218" s="6" t="s">
        <v>55</v>
      </c>
      <c r="E218" s="6" t="n">
        <v>31</v>
      </c>
      <c r="F218" s="6" t="n">
        <v>94.8</v>
      </c>
      <c r="G218" s="6" t="s">
        <v>127</v>
      </c>
    </row>
    <row r="219" customFormat="false" ht="15" hidden="false" customHeight="false" outlineLevel="0" collapsed="false">
      <c r="A219" s="6" t="s">
        <v>129</v>
      </c>
      <c r="B219" s="6" t="s">
        <v>116</v>
      </c>
      <c r="C219" s="6" t="n">
        <v>30</v>
      </c>
      <c r="D219" s="6" t="s">
        <v>56</v>
      </c>
      <c r="E219" s="6" t="n">
        <v>28.6</v>
      </c>
      <c r="F219" s="6" t="n">
        <v>94.7</v>
      </c>
      <c r="G219" s="6" t="s">
        <v>127</v>
      </c>
    </row>
    <row r="220" customFormat="false" ht="15" hidden="false" customHeight="false" outlineLevel="0" collapsed="false">
      <c r="A220" s="6" t="s">
        <v>129</v>
      </c>
      <c r="B220" s="6" t="s">
        <v>116</v>
      </c>
      <c r="C220" s="6" t="n">
        <v>30</v>
      </c>
      <c r="D220" s="6" t="s">
        <v>57</v>
      </c>
      <c r="E220" s="6" t="n">
        <v>30.7</v>
      </c>
      <c r="F220" s="6" t="n">
        <v>92.8</v>
      </c>
      <c r="G220" s="6" t="s">
        <v>127</v>
      </c>
    </row>
    <row r="221" customFormat="false" ht="15" hidden="false" customHeight="false" outlineLevel="0" collapsed="false">
      <c r="A221" s="6" t="s">
        <v>129</v>
      </c>
      <c r="B221" s="6" t="s">
        <v>116</v>
      </c>
      <c r="C221" s="6" t="n">
        <v>30</v>
      </c>
      <c r="D221" s="6" t="s">
        <v>58</v>
      </c>
      <c r="E221" s="6" t="n">
        <v>35.4</v>
      </c>
      <c r="F221" s="6" t="n">
        <v>94.8</v>
      </c>
      <c r="G221" s="6" t="s">
        <v>127</v>
      </c>
    </row>
    <row r="222" customFormat="false" ht="15" hidden="false" customHeight="false" outlineLevel="0" collapsed="false">
      <c r="A222" s="6" t="s">
        <v>129</v>
      </c>
      <c r="B222" s="6" t="s">
        <v>116</v>
      </c>
      <c r="C222" s="6" t="n">
        <v>30</v>
      </c>
      <c r="D222" s="6" t="s">
        <v>59</v>
      </c>
      <c r="E222" s="6" t="n">
        <v>33.3</v>
      </c>
      <c r="F222" s="6" t="n">
        <v>92.9</v>
      </c>
      <c r="G222" s="6" t="s">
        <v>127</v>
      </c>
    </row>
    <row r="223" customFormat="false" ht="15" hidden="false" customHeight="false" outlineLevel="0" collapsed="false">
      <c r="A223" s="6" t="s">
        <v>129</v>
      </c>
      <c r="B223" s="6" t="s">
        <v>116</v>
      </c>
      <c r="C223" s="6" t="n">
        <v>30</v>
      </c>
      <c r="D223" s="6" t="s">
        <v>60</v>
      </c>
      <c r="E223" s="6" t="n">
        <v>29</v>
      </c>
      <c r="F223" s="6" t="n">
        <v>94.2</v>
      </c>
      <c r="G223" s="6" t="s">
        <v>127</v>
      </c>
    </row>
    <row r="224" customFormat="false" ht="15" hidden="false" customHeight="false" outlineLevel="0" collapsed="false">
      <c r="A224" s="6" t="s">
        <v>129</v>
      </c>
      <c r="B224" s="6" t="s">
        <v>116</v>
      </c>
      <c r="C224" s="6" t="n">
        <v>30</v>
      </c>
      <c r="D224" s="6" t="s">
        <v>61</v>
      </c>
      <c r="E224" s="6" t="n">
        <v>29</v>
      </c>
      <c r="F224" s="6" t="n">
        <v>93.4</v>
      </c>
      <c r="G224" s="6" t="s">
        <v>127</v>
      </c>
    </row>
    <row r="225" customFormat="false" ht="15" hidden="false" customHeight="false" outlineLevel="0" collapsed="false">
      <c r="A225" s="6" t="s">
        <v>129</v>
      </c>
      <c r="B225" s="6" t="s">
        <v>116</v>
      </c>
      <c r="C225" s="6" t="n">
        <v>30</v>
      </c>
      <c r="D225" s="6" t="s">
        <v>62</v>
      </c>
      <c r="E225" s="6" t="n">
        <v>39.3</v>
      </c>
      <c r="F225" s="6" t="n">
        <v>91.8</v>
      </c>
      <c r="G225" s="6" t="s">
        <v>127</v>
      </c>
    </row>
    <row r="226" customFormat="false" ht="15" hidden="false" customHeight="false" outlineLevel="0" collapsed="false">
      <c r="A226" s="6" t="s">
        <v>129</v>
      </c>
      <c r="B226" s="6" t="s">
        <v>116</v>
      </c>
      <c r="C226" s="6" t="n">
        <v>30</v>
      </c>
      <c r="D226" s="6" t="s">
        <v>63</v>
      </c>
      <c r="E226" s="6" t="n">
        <v>38.3</v>
      </c>
      <c r="F226" s="6" t="n">
        <v>92.7</v>
      </c>
      <c r="G226" s="6" t="s">
        <v>127</v>
      </c>
    </row>
    <row r="227" customFormat="false" ht="15" hidden="false" customHeight="false" outlineLevel="0" collapsed="false">
      <c r="A227" s="6" t="s">
        <v>129</v>
      </c>
      <c r="B227" s="6" t="s">
        <v>116</v>
      </c>
      <c r="C227" s="6" t="n">
        <v>30</v>
      </c>
      <c r="D227" s="6" t="s">
        <v>64</v>
      </c>
      <c r="E227" s="6" t="n">
        <v>48</v>
      </c>
      <c r="F227" s="6" t="n">
        <v>93.2</v>
      </c>
      <c r="G227" s="6" t="s">
        <v>127</v>
      </c>
    </row>
    <row r="228" customFormat="false" ht="15" hidden="false" customHeight="false" outlineLevel="0" collapsed="false">
      <c r="A228" s="6" t="s">
        <v>129</v>
      </c>
      <c r="B228" s="6" t="s">
        <v>116</v>
      </c>
      <c r="C228" s="6" t="n">
        <v>30</v>
      </c>
      <c r="D228" s="6" t="s">
        <v>65</v>
      </c>
      <c r="E228" s="6" t="n">
        <v>47.8</v>
      </c>
      <c r="F228" s="6" t="n">
        <v>93.3</v>
      </c>
      <c r="G228" s="6" t="s">
        <v>127</v>
      </c>
    </row>
    <row r="229" customFormat="false" ht="15" hidden="false" customHeight="false" outlineLevel="0" collapsed="false">
      <c r="A229" s="6" t="s">
        <v>129</v>
      </c>
      <c r="B229" s="6" t="s">
        <v>116</v>
      </c>
      <c r="C229" s="6" t="n">
        <v>30</v>
      </c>
      <c r="D229" s="6" t="s">
        <v>66</v>
      </c>
      <c r="E229" s="6" t="n">
        <v>52.2</v>
      </c>
      <c r="F229" s="6" t="n">
        <v>92.4</v>
      </c>
      <c r="G229" s="6" t="s">
        <v>127</v>
      </c>
    </row>
    <row r="230" customFormat="false" ht="15" hidden="false" customHeight="false" outlineLevel="0" collapsed="false">
      <c r="A230" s="6" t="s">
        <v>129</v>
      </c>
      <c r="B230" s="6" t="s">
        <v>116</v>
      </c>
      <c r="C230" s="6" t="n">
        <v>30</v>
      </c>
      <c r="D230" s="6" t="s">
        <v>67</v>
      </c>
      <c r="E230" s="6" t="n">
        <v>44.4</v>
      </c>
      <c r="F230" s="6" t="n">
        <v>93.9</v>
      </c>
      <c r="G230" s="6" t="s">
        <v>127</v>
      </c>
    </row>
    <row r="231" customFormat="false" ht="15" hidden="false" customHeight="false" outlineLevel="0" collapsed="false">
      <c r="A231" s="6" t="s">
        <v>129</v>
      </c>
      <c r="B231" s="6" t="s">
        <v>116</v>
      </c>
      <c r="C231" s="6" t="n">
        <v>30</v>
      </c>
      <c r="D231" s="6" t="s">
        <v>68</v>
      </c>
      <c r="E231" s="6" t="n">
        <v>36.5</v>
      </c>
      <c r="F231" s="6" t="n">
        <v>93.2</v>
      </c>
      <c r="G231" s="6" t="s">
        <v>127</v>
      </c>
    </row>
    <row r="232" customFormat="false" ht="15" hidden="false" customHeight="false" outlineLevel="0" collapsed="false">
      <c r="A232" s="6" t="s">
        <v>129</v>
      </c>
      <c r="B232" s="6" t="s">
        <v>116</v>
      </c>
      <c r="C232" s="6" t="n">
        <v>30</v>
      </c>
      <c r="D232" s="6" t="s">
        <v>69</v>
      </c>
      <c r="E232" s="6" t="n">
        <v>35.9</v>
      </c>
      <c r="F232" s="6" t="n">
        <v>91.7</v>
      </c>
      <c r="G232" s="6" t="s">
        <v>127</v>
      </c>
    </row>
    <row r="233" customFormat="false" ht="15" hidden="false" customHeight="false" outlineLevel="0" collapsed="false">
      <c r="A233" s="6" t="s">
        <v>129</v>
      </c>
      <c r="B233" s="6" t="s">
        <v>116</v>
      </c>
      <c r="C233" s="6" t="n">
        <v>30</v>
      </c>
      <c r="D233" s="6" t="s">
        <v>70</v>
      </c>
      <c r="E233" s="6" t="n">
        <v>30.4</v>
      </c>
      <c r="F233" s="6" t="n">
        <v>92.6</v>
      </c>
      <c r="G233" s="6" t="s">
        <v>127</v>
      </c>
    </row>
    <row r="234" customFormat="false" ht="15" hidden="false" customHeight="false" outlineLevel="0" collapsed="false">
      <c r="A234" s="6" t="s">
        <v>129</v>
      </c>
      <c r="B234" s="6" t="s">
        <v>116</v>
      </c>
      <c r="C234" s="6" t="n">
        <v>30</v>
      </c>
      <c r="D234" s="6" t="s">
        <v>71</v>
      </c>
      <c r="E234" s="6" t="n">
        <v>31.2</v>
      </c>
      <c r="F234" s="6" t="n">
        <v>93.6</v>
      </c>
      <c r="G234" s="6" t="s">
        <v>127</v>
      </c>
    </row>
    <row r="235" customFormat="false" ht="15" hidden="false" customHeight="false" outlineLevel="0" collapsed="false">
      <c r="A235" s="6" t="s">
        <v>129</v>
      </c>
      <c r="B235" s="6" t="s">
        <v>116</v>
      </c>
      <c r="C235" s="6" t="n">
        <v>30</v>
      </c>
      <c r="D235" s="6" t="s">
        <v>72</v>
      </c>
      <c r="E235" s="6" t="n">
        <v>38.6</v>
      </c>
      <c r="F235" s="6" t="n">
        <v>93.4</v>
      </c>
      <c r="G235" s="6" t="s">
        <v>127</v>
      </c>
    </row>
    <row r="236" customFormat="false" ht="15" hidden="false" customHeight="false" outlineLevel="0" collapsed="false">
      <c r="A236" s="6" t="s">
        <v>129</v>
      </c>
      <c r="B236" s="6" t="s">
        <v>116</v>
      </c>
      <c r="C236" s="6" t="n">
        <v>30</v>
      </c>
      <c r="D236" s="6" t="s">
        <v>73</v>
      </c>
      <c r="E236" s="6" t="n">
        <v>38.7</v>
      </c>
      <c r="F236" s="6" t="n">
        <v>90.1</v>
      </c>
      <c r="G236" s="6" t="s">
        <v>127</v>
      </c>
    </row>
    <row r="237" customFormat="false" ht="15" hidden="false" customHeight="false" outlineLevel="0" collapsed="false">
      <c r="A237" s="6" t="s">
        <v>129</v>
      </c>
      <c r="B237" s="6" t="s">
        <v>116</v>
      </c>
      <c r="C237" s="6" t="n">
        <v>30</v>
      </c>
      <c r="D237" s="6" t="s">
        <v>74</v>
      </c>
      <c r="E237" s="6" t="n">
        <v>38.2</v>
      </c>
      <c r="F237" s="6" t="n">
        <v>90.2</v>
      </c>
      <c r="G237" s="6" t="s">
        <v>127</v>
      </c>
    </row>
    <row r="238" customFormat="false" ht="15" hidden="false" customHeight="false" outlineLevel="0" collapsed="false">
      <c r="A238" s="6" t="s">
        <v>129</v>
      </c>
      <c r="B238" s="6" t="s">
        <v>116</v>
      </c>
      <c r="C238" s="6" t="n">
        <v>30</v>
      </c>
      <c r="D238" s="6" t="s">
        <v>75</v>
      </c>
      <c r="E238" s="6" t="n">
        <v>29.6</v>
      </c>
      <c r="F238" s="6" t="n">
        <v>92.4</v>
      </c>
      <c r="G238" s="6" t="s">
        <v>127</v>
      </c>
    </row>
    <row r="239" customFormat="false" ht="15" hidden="false" customHeight="false" outlineLevel="0" collapsed="false">
      <c r="A239" s="6" t="s">
        <v>129</v>
      </c>
      <c r="B239" s="6" t="s">
        <v>116</v>
      </c>
      <c r="C239" s="6" t="n">
        <v>30</v>
      </c>
      <c r="D239" s="6" t="s">
        <v>76</v>
      </c>
      <c r="E239" s="6" t="n">
        <v>37.9</v>
      </c>
      <c r="F239" s="6" t="n">
        <v>89.7</v>
      </c>
      <c r="G239" s="6" t="s">
        <v>127</v>
      </c>
    </row>
    <row r="240" customFormat="false" ht="15" hidden="false" customHeight="false" outlineLevel="0" collapsed="false">
      <c r="A240" s="6" t="s">
        <v>129</v>
      </c>
      <c r="B240" s="6" t="s">
        <v>116</v>
      </c>
      <c r="C240" s="6" t="n">
        <v>30</v>
      </c>
      <c r="D240" s="6" t="s">
        <v>77</v>
      </c>
      <c r="E240" s="6" t="n">
        <v>41.7</v>
      </c>
      <c r="F240" s="6" t="n">
        <v>89.3</v>
      </c>
      <c r="G240" s="6" t="s">
        <v>127</v>
      </c>
    </row>
    <row r="241" customFormat="false" ht="15" hidden="false" customHeight="false" outlineLevel="0" collapsed="false">
      <c r="A241" s="6" t="s">
        <v>129</v>
      </c>
      <c r="B241" s="6" t="s">
        <v>116</v>
      </c>
      <c r="C241" s="6" t="n">
        <v>30</v>
      </c>
      <c r="D241" s="6" t="s">
        <v>78</v>
      </c>
      <c r="E241" s="6" t="n">
        <v>47.5</v>
      </c>
      <c r="F241" s="6" t="n">
        <v>90</v>
      </c>
      <c r="G241" s="6" t="s">
        <v>127</v>
      </c>
    </row>
    <row r="242" customFormat="false" ht="15" hidden="false" customHeight="false" outlineLevel="0" collapsed="false">
      <c r="A242" s="6" t="s">
        <v>129</v>
      </c>
      <c r="B242" s="6" t="s">
        <v>116</v>
      </c>
      <c r="C242" s="6" t="n">
        <v>30</v>
      </c>
      <c r="D242" s="6" t="s">
        <v>79</v>
      </c>
      <c r="E242" s="6" t="n">
        <v>35.1</v>
      </c>
      <c r="F242" s="6" t="n">
        <v>90.7</v>
      </c>
      <c r="G242" s="6" t="s">
        <v>127</v>
      </c>
    </row>
    <row r="243" customFormat="false" ht="15" hidden="false" customHeight="false" outlineLevel="0" collapsed="false">
      <c r="A243" s="6" t="s">
        <v>129</v>
      </c>
      <c r="B243" s="6" t="s">
        <v>116</v>
      </c>
      <c r="C243" s="6" t="n">
        <v>30</v>
      </c>
      <c r="D243" s="6" t="s">
        <v>80</v>
      </c>
      <c r="E243" s="6" t="n">
        <v>34.5</v>
      </c>
      <c r="F243" s="6" t="n">
        <v>90</v>
      </c>
      <c r="G243" s="6" t="s">
        <v>127</v>
      </c>
    </row>
    <row r="244" customFormat="false" ht="15" hidden="false" customHeight="false" outlineLevel="0" collapsed="false">
      <c r="A244" s="6" t="s">
        <v>129</v>
      </c>
      <c r="B244" s="6" t="s">
        <v>116</v>
      </c>
      <c r="C244" s="6" t="n">
        <v>30</v>
      </c>
      <c r="D244" s="6" t="s">
        <v>81</v>
      </c>
      <c r="E244" s="6" t="n">
        <v>38.2</v>
      </c>
      <c r="F244" s="6" t="n">
        <v>89.3</v>
      </c>
      <c r="G244" s="6" t="s">
        <v>127</v>
      </c>
    </row>
    <row r="245" customFormat="false" ht="15" hidden="false" customHeight="false" outlineLevel="0" collapsed="false">
      <c r="A245" s="6" t="s">
        <v>129</v>
      </c>
      <c r="B245" s="6" t="s">
        <v>116</v>
      </c>
      <c r="C245" s="6" t="n">
        <v>30</v>
      </c>
      <c r="D245" s="6" t="s">
        <v>82</v>
      </c>
      <c r="E245" s="6" t="n">
        <v>48.7</v>
      </c>
      <c r="F245" s="6" t="n">
        <v>89.1</v>
      </c>
      <c r="G245" s="6" t="s">
        <v>127</v>
      </c>
    </row>
    <row r="246" customFormat="false" ht="15" hidden="false" customHeight="false" outlineLevel="0" collapsed="false">
      <c r="A246" s="6" t="s">
        <v>129</v>
      </c>
      <c r="B246" s="6" t="s">
        <v>116</v>
      </c>
      <c r="C246" s="6" t="n">
        <v>30</v>
      </c>
      <c r="D246" s="6" t="s">
        <v>83</v>
      </c>
      <c r="E246" s="6" t="n">
        <v>51.4</v>
      </c>
      <c r="F246" s="6" t="n">
        <v>88.9</v>
      </c>
      <c r="G246" s="6" t="s">
        <v>127</v>
      </c>
    </row>
    <row r="247" customFormat="false" ht="15" hidden="false" customHeight="false" outlineLevel="0" collapsed="false">
      <c r="A247" s="6" t="s">
        <v>129</v>
      </c>
      <c r="B247" s="6" t="s">
        <v>116</v>
      </c>
      <c r="C247" s="6" t="n">
        <v>30</v>
      </c>
      <c r="D247" s="6" t="s">
        <v>84</v>
      </c>
      <c r="E247" s="6" t="n">
        <v>46.1</v>
      </c>
      <c r="F247" s="6" t="n">
        <v>88.5</v>
      </c>
      <c r="G247" s="6" t="s">
        <v>127</v>
      </c>
    </row>
    <row r="248" customFormat="false" ht="15" hidden="false" customHeight="false" outlineLevel="0" collapsed="false">
      <c r="A248" s="6" t="s">
        <v>129</v>
      </c>
      <c r="B248" s="6" t="s">
        <v>116</v>
      </c>
      <c r="C248" s="6" t="n">
        <v>30</v>
      </c>
      <c r="D248" s="6" t="s">
        <v>85</v>
      </c>
      <c r="E248" s="6" t="n">
        <v>40</v>
      </c>
      <c r="F248" s="6" t="n">
        <v>91.5</v>
      </c>
      <c r="G248" s="6" t="s">
        <v>127</v>
      </c>
    </row>
    <row r="249" customFormat="false" ht="15" hidden="false" customHeight="false" outlineLevel="0" collapsed="false">
      <c r="A249" s="6" t="s">
        <v>129</v>
      </c>
      <c r="B249" s="6" t="s">
        <v>116</v>
      </c>
      <c r="C249" s="6" t="n">
        <v>30</v>
      </c>
      <c r="D249" s="6" t="s">
        <v>86</v>
      </c>
      <c r="E249" s="6" t="n">
        <v>41.4</v>
      </c>
      <c r="F249" s="6" t="n">
        <v>89.3</v>
      </c>
      <c r="G249" s="6" t="s">
        <v>127</v>
      </c>
    </row>
    <row r="250" customFormat="false" ht="15" hidden="false" customHeight="false" outlineLevel="0" collapsed="false">
      <c r="A250" s="6" t="s">
        <v>129</v>
      </c>
      <c r="B250" s="6" t="s">
        <v>116</v>
      </c>
      <c r="C250" s="6" t="n">
        <v>30</v>
      </c>
      <c r="D250" s="6" t="s">
        <v>87</v>
      </c>
      <c r="E250" s="6" t="n">
        <v>39.1</v>
      </c>
      <c r="F250" s="6" t="n">
        <v>89.8</v>
      </c>
      <c r="G250" s="6" t="s">
        <v>127</v>
      </c>
    </row>
    <row r="251" customFormat="false" ht="15" hidden="false" customHeight="false" outlineLevel="0" collapsed="false">
      <c r="A251" s="6" t="s">
        <v>129</v>
      </c>
      <c r="B251" s="6" t="s">
        <v>116</v>
      </c>
      <c r="C251" s="6" t="n">
        <v>30</v>
      </c>
      <c r="D251" s="6" t="s">
        <v>88</v>
      </c>
      <c r="E251" s="6" t="n">
        <v>38.7</v>
      </c>
      <c r="F251" s="6" t="n">
        <v>88.2</v>
      </c>
      <c r="G251" s="6" t="s">
        <v>127</v>
      </c>
    </row>
    <row r="252" customFormat="false" ht="15" hidden="false" customHeight="false" outlineLevel="0" collapsed="false">
      <c r="A252" s="6" t="s">
        <v>129</v>
      </c>
      <c r="B252" s="6" t="s">
        <v>116</v>
      </c>
      <c r="C252" s="6" t="n">
        <v>30</v>
      </c>
      <c r="D252" s="6" t="s">
        <v>89</v>
      </c>
      <c r="E252" s="6" t="n">
        <v>57.4</v>
      </c>
      <c r="F252" s="6" t="n">
        <v>88.3</v>
      </c>
      <c r="G252" s="6" t="s">
        <v>127</v>
      </c>
    </row>
    <row r="253" customFormat="false" ht="15" hidden="false" customHeight="false" outlineLevel="0" collapsed="false">
      <c r="A253" s="6" t="s">
        <v>129</v>
      </c>
      <c r="B253" s="6" t="s">
        <v>116</v>
      </c>
      <c r="C253" s="6" t="n">
        <v>30</v>
      </c>
      <c r="D253" s="6" t="s">
        <v>90</v>
      </c>
      <c r="E253" s="6" t="n">
        <v>59</v>
      </c>
      <c r="F253" s="6" t="n">
        <v>87.6</v>
      </c>
      <c r="G253" s="6" t="s">
        <v>127</v>
      </c>
    </row>
    <row r="254" customFormat="false" ht="15" hidden="false" customHeight="false" outlineLevel="0" collapsed="false">
      <c r="A254" s="6" t="s">
        <v>129</v>
      </c>
      <c r="B254" s="6" t="s">
        <v>116</v>
      </c>
      <c r="C254" s="6" t="n">
        <v>30</v>
      </c>
      <c r="D254" s="6" t="s">
        <v>91</v>
      </c>
      <c r="E254" s="6" t="n">
        <v>53.6</v>
      </c>
      <c r="F254" s="6" t="n">
        <v>85.5</v>
      </c>
      <c r="G254" s="6" t="s">
        <v>127</v>
      </c>
    </row>
    <row r="255" customFormat="false" ht="15" hidden="false" customHeight="false" outlineLevel="0" collapsed="false">
      <c r="A255" s="6" t="s">
        <v>129</v>
      </c>
      <c r="B255" s="6" t="s">
        <v>116</v>
      </c>
      <c r="C255" s="6" t="n">
        <v>30</v>
      </c>
      <c r="D255" s="6" t="s">
        <v>92</v>
      </c>
      <c r="E255" s="6" t="n">
        <v>31</v>
      </c>
      <c r="F255" s="6" t="n">
        <v>86.6</v>
      </c>
      <c r="G255" s="6" t="s">
        <v>127</v>
      </c>
    </row>
    <row r="256" customFormat="false" ht="15" hidden="false" customHeight="false" outlineLevel="0" collapsed="false">
      <c r="A256" s="6" t="s">
        <v>129</v>
      </c>
      <c r="B256" s="6" t="s">
        <v>116</v>
      </c>
      <c r="C256" s="6" t="n">
        <v>30</v>
      </c>
      <c r="D256" s="6" t="s">
        <v>93</v>
      </c>
      <c r="E256" s="6" t="n">
        <v>29.7</v>
      </c>
      <c r="F256" s="6" t="n">
        <v>86</v>
      </c>
      <c r="G256" s="6" t="s">
        <v>127</v>
      </c>
    </row>
    <row r="257" customFormat="false" ht="15" hidden="false" customHeight="false" outlineLevel="0" collapsed="false">
      <c r="A257" s="6" t="s">
        <v>129</v>
      </c>
      <c r="B257" s="6" t="s">
        <v>116</v>
      </c>
      <c r="C257" s="6" t="n">
        <v>30</v>
      </c>
      <c r="D257" s="6" t="s">
        <v>94</v>
      </c>
      <c r="E257" s="6" t="n">
        <v>28.7</v>
      </c>
      <c r="F257" s="6" t="n">
        <v>85.4</v>
      </c>
      <c r="G257" s="6" t="s">
        <v>127</v>
      </c>
    </row>
    <row r="258" customFormat="false" ht="15" hidden="false" customHeight="false" outlineLevel="0" collapsed="false">
      <c r="A258" s="6" t="s">
        <v>129</v>
      </c>
      <c r="B258" s="6" t="s">
        <v>116</v>
      </c>
      <c r="C258" s="6" t="n">
        <v>30</v>
      </c>
      <c r="D258" s="6" t="s">
        <v>95</v>
      </c>
      <c r="E258" s="6" t="n">
        <v>27</v>
      </c>
      <c r="F258" s="6" t="n">
        <v>86.3</v>
      </c>
      <c r="G258" s="6" t="s">
        <v>127</v>
      </c>
    </row>
    <row r="259" customFormat="false" ht="15" hidden="false" customHeight="false" outlineLevel="0" collapsed="false">
      <c r="A259" s="6" t="s">
        <v>129</v>
      </c>
      <c r="B259" s="6" t="s">
        <v>116</v>
      </c>
      <c r="C259" s="6" t="n">
        <v>30</v>
      </c>
      <c r="D259" s="6" t="s">
        <v>96</v>
      </c>
      <c r="E259" s="6" t="n">
        <v>35</v>
      </c>
      <c r="F259" s="6" t="n">
        <v>88.6</v>
      </c>
      <c r="G259" s="6" t="s">
        <v>127</v>
      </c>
    </row>
    <row r="260" customFormat="false" ht="15" hidden="false" customHeight="false" outlineLevel="0" collapsed="false">
      <c r="A260" s="6" t="s">
        <v>129</v>
      </c>
      <c r="B260" s="6" t="s">
        <v>116</v>
      </c>
      <c r="C260" s="6" t="n">
        <v>30</v>
      </c>
      <c r="D260" s="6" t="s">
        <v>97</v>
      </c>
      <c r="E260" s="6" t="n">
        <v>35.9</v>
      </c>
      <c r="F260" s="6" t="n">
        <v>87.1</v>
      </c>
      <c r="G260" s="6" t="s">
        <v>127</v>
      </c>
    </row>
    <row r="261" customFormat="false" ht="15" hidden="false" customHeight="false" outlineLevel="0" collapsed="false">
      <c r="A261" s="6" t="s">
        <v>129</v>
      </c>
      <c r="B261" s="6" t="s">
        <v>116</v>
      </c>
      <c r="C261" s="6" t="n">
        <v>30</v>
      </c>
      <c r="D261" s="6" t="s">
        <v>98</v>
      </c>
      <c r="E261" s="6" t="n">
        <v>36.1</v>
      </c>
      <c r="F261" s="6" t="n">
        <v>88.3</v>
      </c>
      <c r="G261" s="6" t="s">
        <v>127</v>
      </c>
    </row>
    <row r="262" customFormat="false" ht="15" hidden="false" customHeight="false" outlineLevel="0" collapsed="false">
      <c r="A262" s="6" t="s">
        <v>129</v>
      </c>
      <c r="B262" s="6" t="s">
        <v>116</v>
      </c>
      <c r="C262" s="6" t="n">
        <v>30</v>
      </c>
      <c r="D262" s="6" t="s">
        <v>99</v>
      </c>
      <c r="E262" s="6" t="n">
        <v>33.2</v>
      </c>
      <c r="F262" s="6" t="n">
        <v>87.2</v>
      </c>
      <c r="G262" s="6" t="s">
        <v>127</v>
      </c>
    </row>
    <row r="263" customFormat="false" ht="15" hidden="false" customHeight="false" outlineLevel="0" collapsed="false">
      <c r="A263" s="6" t="s">
        <v>129</v>
      </c>
      <c r="B263" s="6" t="s">
        <v>116</v>
      </c>
      <c r="C263" s="6" t="n">
        <v>30</v>
      </c>
      <c r="D263" s="6" t="s">
        <v>100</v>
      </c>
      <c r="E263" s="6" t="n">
        <v>42.3</v>
      </c>
      <c r="F263" s="6" t="n">
        <v>87.4</v>
      </c>
      <c r="G263" s="6" t="s">
        <v>127</v>
      </c>
    </row>
    <row r="264" customFormat="false" ht="15" hidden="false" customHeight="false" outlineLevel="0" collapsed="false">
      <c r="A264" s="6" t="s">
        <v>129</v>
      </c>
      <c r="B264" s="6" t="s">
        <v>116</v>
      </c>
      <c r="C264" s="6" t="n">
        <v>30</v>
      </c>
      <c r="D264" s="6" t="s">
        <v>101</v>
      </c>
      <c r="E264" s="6" t="n">
        <v>45.5</v>
      </c>
      <c r="F264" s="6" t="n">
        <v>85.5</v>
      </c>
      <c r="G264" s="6" t="s">
        <v>127</v>
      </c>
    </row>
    <row r="265" customFormat="false" ht="15" hidden="false" customHeight="false" outlineLevel="0" collapsed="false">
      <c r="A265" s="6" t="s">
        <v>129</v>
      </c>
      <c r="B265" s="6" t="s">
        <v>116</v>
      </c>
      <c r="C265" s="6" t="n">
        <v>30</v>
      </c>
      <c r="D265" s="6" t="s">
        <v>102</v>
      </c>
      <c r="E265" s="6" t="n">
        <v>46.1</v>
      </c>
      <c r="F265" s="6" t="n">
        <v>86.8</v>
      </c>
      <c r="G265" s="6" t="s">
        <v>127</v>
      </c>
    </row>
    <row r="266" customFormat="false" ht="15" hidden="false" customHeight="false" outlineLevel="0" collapsed="false">
      <c r="A266" s="6" t="s">
        <v>129</v>
      </c>
      <c r="B266" s="6" t="s">
        <v>116</v>
      </c>
      <c r="C266" s="6" t="n">
        <v>30</v>
      </c>
      <c r="D266" s="6" t="s">
        <v>103</v>
      </c>
      <c r="E266" s="6" t="n">
        <v>41.6</v>
      </c>
      <c r="F266" s="6" t="n">
        <v>86.8</v>
      </c>
      <c r="G266" s="6" t="s">
        <v>127</v>
      </c>
    </row>
    <row r="267" customFormat="false" ht="15" hidden="false" customHeight="false" outlineLevel="0" collapsed="false">
      <c r="A267" s="6" t="s">
        <v>129</v>
      </c>
      <c r="B267" s="6" t="s">
        <v>116</v>
      </c>
      <c r="C267" s="6" t="n">
        <v>30</v>
      </c>
      <c r="D267" s="6" t="s">
        <v>104</v>
      </c>
      <c r="E267" s="6" t="n">
        <v>36.4</v>
      </c>
      <c r="F267" s="6" t="n">
        <v>85.3</v>
      </c>
      <c r="G267" s="6" t="s">
        <v>127</v>
      </c>
    </row>
    <row r="268" customFormat="false" ht="15" hidden="false" customHeight="false" outlineLevel="0" collapsed="false">
      <c r="A268" s="6" t="s">
        <v>129</v>
      </c>
      <c r="B268" s="6" t="s">
        <v>116</v>
      </c>
      <c r="C268" s="6" t="n">
        <v>30</v>
      </c>
      <c r="D268" s="6" t="s">
        <v>105</v>
      </c>
      <c r="E268" s="6" t="n">
        <v>34.3</v>
      </c>
      <c r="F268" s="6" t="n">
        <v>86.3</v>
      </c>
      <c r="G268" s="6" t="s">
        <v>127</v>
      </c>
    </row>
    <row r="269" customFormat="false" ht="15" hidden="false" customHeight="false" outlineLevel="0" collapsed="false">
      <c r="A269" s="6" t="s">
        <v>129</v>
      </c>
      <c r="B269" s="6" t="s">
        <v>116</v>
      </c>
      <c r="C269" s="6" t="n">
        <v>30</v>
      </c>
      <c r="D269" s="6" t="s">
        <v>106</v>
      </c>
      <c r="E269" s="6" t="n">
        <v>33.2</v>
      </c>
      <c r="F269" s="6" t="n">
        <v>86.1</v>
      </c>
      <c r="G269" s="6" t="s">
        <v>127</v>
      </c>
    </row>
    <row r="270" customFormat="false" ht="15" hidden="false" customHeight="false" outlineLevel="0" collapsed="false">
      <c r="A270" s="6" t="s">
        <v>129</v>
      </c>
      <c r="B270" s="6" t="s">
        <v>116</v>
      </c>
      <c r="C270" s="6" t="n">
        <v>30</v>
      </c>
      <c r="D270" s="6" t="s">
        <v>107</v>
      </c>
      <c r="E270" s="6" t="n">
        <v>29.8</v>
      </c>
      <c r="F270" s="6" t="n">
        <v>84.9</v>
      </c>
      <c r="G270" s="6" t="s">
        <v>127</v>
      </c>
    </row>
    <row r="271" customFormat="false" ht="15" hidden="false" customHeight="false" outlineLevel="0" collapsed="false">
      <c r="A271" s="6" t="s">
        <v>129</v>
      </c>
      <c r="B271" s="6" t="s">
        <v>116</v>
      </c>
      <c r="C271" s="6" t="n">
        <v>30</v>
      </c>
      <c r="D271" s="6" t="s">
        <v>108</v>
      </c>
      <c r="E271" s="6" t="n">
        <v>38.6</v>
      </c>
      <c r="F271" s="6" t="n">
        <v>84.1</v>
      </c>
      <c r="G271" s="6" t="s">
        <v>127</v>
      </c>
    </row>
    <row r="272" customFormat="false" ht="15" hidden="false" customHeight="false" outlineLevel="0" collapsed="false">
      <c r="A272" s="6" t="s">
        <v>129</v>
      </c>
      <c r="B272" s="6" t="s">
        <v>116</v>
      </c>
      <c r="C272" s="6" t="n">
        <v>30</v>
      </c>
      <c r="D272" s="6" t="s">
        <v>109</v>
      </c>
      <c r="E272" s="6" t="n">
        <v>35.1</v>
      </c>
      <c r="F272" s="6" t="n">
        <v>83.9</v>
      </c>
      <c r="G272" s="6" t="s">
        <v>127</v>
      </c>
    </row>
    <row r="273" customFormat="false" ht="15" hidden="false" customHeight="false" outlineLevel="0" collapsed="false">
      <c r="A273" s="6" t="s">
        <v>129</v>
      </c>
      <c r="B273" s="6" t="s">
        <v>116</v>
      </c>
      <c r="C273" s="6" t="n">
        <v>30</v>
      </c>
      <c r="D273" s="6" t="s">
        <v>110</v>
      </c>
      <c r="E273" s="6" t="n">
        <v>44</v>
      </c>
      <c r="F273" s="6" t="n">
        <v>85</v>
      </c>
      <c r="G273" s="6" t="s">
        <v>127</v>
      </c>
    </row>
    <row r="274" customFormat="false" ht="15" hidden="false" customHeight="false" outlineLevel="0" collapsed="false">
      <c r="A274" s="6" t="s">
        <v>129</v>
      </c>
      <c r="B274" s="6" t="s">
        <v>116</v>
      </c>
      <c r="C274" s="6" t="n">
        <v>30</v>
      </c>
      <c r="D274" s="6" t="s">
        <v>111</v>
      </c>
      <c r="E274" s="6" t="n">
        <v>36.7</v>
      </c>
      <c r="F274" s="6" t="n">
        <v>85</v>
      </c>
      <c r="G274" s="6" t="s">
        <v>127</v>
      </c>
    </row>
    <row r="275" customFormat="false" ht="15" hidden="false" customHeight="false" outlineLevel="0" collapsed="false">
      <c r="A275" s="6" t="s">
        <v>129</v>
      </c>
      <c r="B275" s="6" t="s">
        <v>116</v>
      </c>
      <c r="C275" s="6" t="n">
        <v>30</v>
      </c>
      <c r="D275" s="6" t="s">
        <v>112</v>
      </c>
      <c r="E275" s="6" t="n">
        <v>43.1</v>
      </c>
      <c r="F275" s="6" t="n">
        <v>83.7</v>
      </c>
      <c r="G275" s="6" t="s">
        <v>127</v>
      </c>
    </row>
    <row r="276" customFormat="false" ht="15" hidden="false" customHeight="false" outlineLevel="0" collapsed="false">
      <c r="A276" s="6" t="s">
        <v>129</v>
      </c>
      <c r="B276" s="6" t="s">
        <v>116</v>
      </c>
      <c r="C276" s="6" t="n">
        <v>30</v>
      </c>
      <c r="D276" s="6" t="s">
        <v>113</v>
      </c>
      <c r="E276" s="6" t="n">
        <v>58.5</v>
      </c>
      <c r="F276" s="6" t="n">
        <v>84.4</v>
      </c>
      <c r="G276" s="6" t="s">
        <v>127</v>
      </c>
    </row>
    <row r="277" customFormat="false" ht="15" hidden="false" customHeight="false" outlineLevel="0" collapsed="false">
      <c r="A277" s="6" t="s">
        <v>129</v>
      </c>
      <c r="B277" s="6" t="s">
        <v>116</v>
      </c>
      <c r="C277" s="6" t="n">
        <v>30</v>
      </c>
      <c r="D277" s="6" t="s">
        <v>114</v>
      </c>
      <c r="E277" s="6" t="n">
        <v>50.8</v>
      </c>
      <c r="F277" s="6" t="n">
        <v>84.8</v>
      </c>
      <c r="G277" s="6" t="s">
        <v>127</v>
      </c>
    </row>
    <row r="278" customFormat="false" ht="15" hidden="false" customHeight="false" outlineLevel="0" collapsed="false">
      <c r="A278" s="6" t="s">
        <v>130</v>
      </c>
      <c r="B278" s="6" t="s">
        <v>116</v>
      </c>
      <c r="C278" s="6" t="n">
        <v>60</v>
      </c>
      <c r="D278" s="6" t="s">
        <v>23</v>
      </c>
      <c r="E278" s="6" t="n">
        <v>29.5</v>
      </c>
      <c r="F278" s="6" t="n">
        <v>98.9</v>
      </c>
      <c r="G278" s="6" t="s">
        <v>127</v>
      </c>
    </row>
    <row r="279" customFormat="false" ht="15" hidden="false" customHeight="false" outlineLevel="0" collapsed="false">
      <c r="A279" s="6" t="s">
        <v>130</v>
      </c>
      <c r="B279" s="6" t="s">
        <v>116</v>
      </c>
      <c r="C279" s="6" t="n">
        <v>60</v>
      </c>
      <c r="D279" s="6" t="s">
        <v>24</v>
      </c>
      <c r="E279" s="6" t="n">
        <v>32.1</v>
      </c>
      <c r="F279" s="6" t="n">
        <v>100</v>
      </c>
      <c r="G279" s="6" t="s">
        <v>127</v>
      </c>
    </row>
    <row r="280" customFormat="false" ht="15" hidden="false" customHeight="false" outlineLevel="0" collapsed="false">
      <c r="A280" s="6" t="s">
        <v>130</v>
      </c>
      <c r="B280" s="6" t="s">
        <v>116</v>
      </c>
      <c r="C280" s="6" t="n">
        <v>60</v>
      </c>
      <c r="D280" s="6" t="s">
        <v>25</v>
      </c>
      <c r="E280" s="6" t="n">
        <v>33.3</v>
      </c>
      <c r="F280" s="6" t="n">
        <v>99.8</v>
      </c>
      <c r="G280" s="6" t="s">
        <v>127</v>
      </c>
    </row>
    <row r="281" customFormat="false" ht="15" hidden="false" customHeight="false" outlineLevel="0" collapsed="false">
      <c r="A281" s="6" t="s">
        <v>130</v>
      </c>
      <c r="B281" s="6" t="s">
        <v>116</v>
      </c>
      <c r="C281" s="6" t="n">
        <v>60</v>
      </c>
      <c r="D281" s="6" t="s">
        <v>26</v>
      </c>
      <c r="E281" s="6" t="n">
        <v>36.3</v>
      </c>
      <c r="F281" s="6" t="n">
        <v>99.8</v>
      </c>
      <c r="G281" s="6" t="s">
        <v>127</v>
      </c>
    </row>
    <row r="282" customFormat="false" ht="15" hidden="false" customHeight="false" outlineLevel="0" collapsed="false">
      <c r="A282" s="6" t="s">
        <v>130</v>
      </c>
      <c r="B282" s="6" t="s">
        <v>116</v>
      </c>
      <c r="C282" s="6" t="n">
        <v>60</v>
      </c>
      <c r="D282" s="6" t="s">
        <v>27</v>
      </c>
      <c r="E282" s="6" t="n">
        <v>42.9</v>
      </c>
      <c r="F282" s="6" t="n">
        <v>100</v>
      </c>
      <c r="G282" s="6" t="s">
        <v>127</v>
      </c>
    </row>
    <row r="283" customFormat="false" ht="15" hidden="false" customHeight="false" outlineLevel="0" collapsed="false">
      <c r="A283" s="6" t="s">
        <v>130</v>
      </c>
      <c r="B283" s="6" t="s">
        <v>116</v>
      </c>
      <c r="C283" s="6" t="n">
        <v>60</v>
      </c>
      <c r="D283" s="6" t="s">
        <v>28</v>
      </c>
      <c r="E283" s="6" t="n">
        <v>39.7</v>
      </c>
      <c r="F283" s="6" t="n">
        <v>99.4</v>
      </c>
      <c r="G283" s="6" t="s">
        <v>127</v>
      </c>
    </row>
    <row r="284" customFormat="false" ht="15" hidden="false" customHeight="false" outlineLevel="0" collapsed="false">
      <c r="A284" s="6" t="s">
        <v>130</v>
      </c>
      <c r="B284" s="6" t="s">
        <v>116</v>
      </c>
      <c r="C284" s="6" t="n">
        <v>60</v>
      </c>
      <c r="D284" s="6" t="s">
        <v>29</v>
      </c>
      <c r="E284" s="6" t="n">
        <v>35.4</v>
      </c>
      <c r="F284" s="6" t="n">
        <v>99.3</v>
      </c>
      <c r="G284" s="6" t="s">
        <v>127</v>
      </c>
    </row>
    <row r="285" customFormat="false" ht="15" hidden="false" customHeight="false" outlineLevel="0" collapsed="false">
      <c r="A285" s="6" t="s">
        <v>130</v>
      </c>
      <c r="B285" s="6" t="s">
        <v>116</v>
      </c>
      <c r="C285" s="6" t="n">
        <v>60</v>
      </c>
      <c r="D285" s="6" t="s">
        <v>30</v>
      </c>
      <c r="E285" s="6" t="n">
        <v>31.5</v>
      </c>
      <c r="F285" s="6" t="n">
        <v>100</v>
      </c>
      <c r="G285" s="6" t="s">
        <v>127</v>
      </c>
    </row>
    <row r="286" customFormat="false" ht="15" hidden="false" customHeight="false" outlineLevel="0" collapsed="false">
      <c r="A286" s="6" t="s">
        <v>130</v>
      </c>
      <c r="B286" s="6" t="s">
        <v>116</v>
      </c>
      <c r="C286" s="6" t="n">
        <v>60</v>
      </c>
      <c r="D286" s="6" t="s">
        <v>31</v>
      </c>
      <c r="E286" s="6" t="n">
        <v>29.7</v>
      </c>
      <c r="F286" s="6" t="n">
        <v>98</v>
      </c>
      <c r="G286" s="6" t="s">
        <v>127</v>
      </c>
    </row>
    <row r="287" customFormat="false" ht="15" hidden="false" customHeight="false" outlineLevel="0" collapsed="false">
      <c r="A287" s="6" t="s">
        <v>130</v>
      </c>
      <c r="B287" s="6" t="s">
        <v>116</v>
      </c>
      <c r="C287" s="6" t="n">
        <v>60</v>
      </c>
      <c r="D287" s="6" t="s">
        <v>32</v>
      </c>
      <c r="E287" s="6" t="n">
        <v>28.3</v>
      </c>
      <c r="F287" s="6" t="n">
        <v>97.2</v>
      </c>
      <c r="G287" s="6" t="s">
        <v>127</v>
      </c>
    </row>
    <row r="288" customFormat="false" ht="15" hidden="false" customHeight="false" outlineLevel="0" collapsed="false">
      <c r="A288" s="6" t="s">
        <v>130</v>
      </c>
      <c r="B288" s="6" t="s">
        <v>116</v>
      </c>
      <c r="C288" s="6" t="n">
        <v>60</v>
      </c>
      <c r="D288" s="6" t="s">
        <v>33</v>
      </c>
      <c r="E288" s="6" t="n">
        <v>34.6</v>
      </c>
      <c r="F288" s="6" t="n">
        <v>98.2</v>
      </c>
      <c r="G288" s="6" t="s">
        <v>127</v>
      </c>
    </row>
    <row r="289" customFormat="false" ht="15" hidden="false" customHeight="false" outlineLevel="0" collapsed="false">
      <c r="A289" s="6" t="s">
        <v>130</v>
      </c>
      <c r="B289" s="6" t="s">
        <v>116</v>
      </c>
      <c r="C289" s="6" t="n">
        <v>60</v>
      </c>
      <c r="D289" s="6" t="s">
        <v>34</v>
      </c>
      <c r="E289" s="6" t="n">
        <v>38.4</v>
      </c>
      <c r="F289" s="6" t="n">
        <v>98</v>
      </c>
      <c r="G289" s="6" t="s">
        <v>127</v>
      </c>
    </row>
    <row r="290" customFormat="false" ht="15" hidden="false" customHeight="false" outlineLevel="0" collapsed="false">
      <c r="A290" s="6" t="s">
        <v>130</v>
      </c>
      <c r="B290" s="6" t="s">
        <v>116</v>
      </c>
      <c r="C290" s="6" t="n">
        <v>60</v>
      </c>
      <c r="D290" s="6" t="s">
        <v>35</v>
      </c>
      <c r="E290" s="6" t="n">
        <v>42</v>
      </c>
      <c r="F290" s="6" t="n">
        <v>96.8</v>
      </c>
      <c r="G290" s="6" t="s">
        <v>127</v>
      </c>
    </row>
    <row r="291" customFormat="false" ht="15" hidden="false" customHeight="false" outlineLevel="0" collapsed="false">
      <c r="A291" s="6" t="s">
        <v>130</v>
      </c>
      <c r="B291" s="6" t="s">
        <v>116</v>
      </c>
      <c r="C291" s="6" t="n">
        <v>60</v>
      </c>
      <c r="D291" s="6" t="s">
        <v>36</v>
      </c>
      <c r="E291" s="6" t="n">
        <v>46.2</v>
      </c>
      <c r="F291" s="6" t="n">
        <v>96.1</v>
      </c>
      <c r="G291" s="6" t="s">
        <v>127</v>
      </c>
    </row>
    <row r="292" customFormat="false" ht="15" hidden="false" customHeight="false" outlineLevel="0" collapsed="false">
      <c r="A292" s="6" t="s">
        <v>130</v>
      </c>
      <c r="B292" s="6" t="s">
        <v>116</v>
      </c>
      <c r="C292" s="6" t="n">
        <v>60</v>
      </c>
      <c r="D292" s="6" t="s">
        <v>37</v>
      </c>
      <c r="E292" s="6" t="n">
        <v>36.5</v>
      </c>
      <c r="F292" s="6" t="n">
        <v>99.2</v>
      </c>
      <c r="G292" s="6" t="s">
        <v>127</v>
      </c>
    </row>
    <row r="293" customFormat="false" ht="15" hidden="false" customHeight="false" outlineLevel="0" collapsed="false">
      <c r="A293" s="6" t="s">
        <v>130</v>
      </c>
      <c r="B293" s="6" t="s">
        <v>116</v>
      </c>
      <c r="C293" s="6" t="n">
        <v>60</v>
      </c>
      <c r="D293" s="6" t="s">
        <v>38</v>
      </c>
      <c r="E293" s="6" t="n">
        <v>39.8</v>
      </c>
      <c r="F293" s="6" t="n">
        <v>97</v>
      </c>
      <c r="G293" s="6" t="s">
        <v>127</v>
      </c>
    </row>
    <row r="294" customFormat="false" ht="15" hidden="false" customHeight="false" outlineLevel="0" collapsed="false">
      <c r="A294" s="6" t="s">
        <v>130</v>
      </c>
      <c r="B294" s="6" t="s">
        <v>116</v>
      </c>
      <c r="C294" s="6" t="n">
        <v>60</v>
      </c>
      <c r="D294" s="6" t="s">
        <v>39</v>
      </c>
      <c r="E294" s="6" t="n">
        <v>31.2</v>
      </c>
      <c r="F294" s="6" t="n">
        <v>95.8</v>
      </c>
      <c r="G294" s="6" t="s">
        <v>127</v>
      </c>
    </row>
    <row r="295" customFormat="false" ht="15" hidden="false" customHeight="false" outlineLevel="0" collapsed="false">
      <c r="A295" s="6" t="s">
        <v>130</v>
      </c>
      <c r="B295" s="6" t="s">
        <v>116</v>
      </c>
      <c r="C295" s="6" t="n">
        <v>60</v>
      </c>
      <c r="D295" s="6" t="s">
        <v>40</v>
      </c>
      <c r="E295" s="6" t="n">
        <v>31.8</v>
      </c>
      <c r="F295" s="6" t="n">
        <v>97.2</v>
      </c>
      <c r="G295" s="6" t="s">
        <v>127</v>
      </c>
    </row>
    <row r="296" customFormat="false" ht="15" hidden="false" customHeight="false" outlineLevel="0" collapsed="false">
      <c r="A296" s="6" t="s">
        <v>130</v>
      </c>
      <c r="B296" s="6" t="s">
        <v>116</v>
      </c>
      <c r="C296" s="6" t="n">
        <v>60</v>
      </c>
      <c r="D296" s="6" t="s">
        <v>41</v>
      </c>
      <c r="E296" s="6" t="n">
        <v>37.4</v>
      </c>
      <c r="F296" s="6" t="n">
        <v>96</v>
      </c>
      <c r="G296" s="6" t="s">
        <v>127</v>
      </c>
    </row>
    <row r="297" customFormat="false" ht="15" hidden="false" customHeight="false" outlineLevel="0" collapsed="false">
      <c r="A297" s="6" t="s">
        <v>130</v>
      </c>
      <c r="B297" s="6" t="s">
        <v>116</v>
      </c>
      <c r="C297" s="6" t="n">
        <v>60</v>
      </c>
      <c r="D297" s="6" t="s">
        <v>42</v>
      </c>
      <c r="E297" s="6" t="n">
        <v>35.6</v>
      </c>
      <c r="F297" s="6" t="n">
        <v>95.6</v>
      </c>
      <c r="G297" s="6" t="s">
        <v>127</v>
      </c>
    </row>
    <row r="298" customFormat="false" ht="15" hidden="false" customHeight="false" outlineLevel="0" collapsed="false">
      <c r="A298" s="6" t="s">
        <v>130</v>
      </c>
      <c r="B298" s="6" t="s">
        <v>116</v>
      </c>
      <c r="C298" s="6" t="n">
        <v>60</v>
      </c>
      <c r="D298" s="6" t="s">
        <v>43</v>
      </c>
      <c r="E298" s="6" t="n">
        <v>39</v>
      </c>
      <c r="F298" s="6" t="n">
        <v>96.2</v>
      </c>
      <c r="G298" s="6" t="s">
        <v>127</v>
      </c>
    </row>
    <row r="299" customFormat="false" ht="15" hidden="false" customHeight="false" outlineLevel="0" collapsed="false">
      <c r="A299" s="6" t="s">
        <v>130</v>
      </c>
      <c r="B299" s="6" t="s">
        <v>116</v>
      </c>
      <c r="C299" s="6" t="n">
        <v>60</v>
      </c>
      <c r="D299" s="6" t="s">
        <v>44</v>
      </c>
      <c r="E299" s="6" t="n">
        <v>30.7</v>
      </c>
      <c r="F299" s="6" t="n">
        <v>94.1</v>
      </c>
      <c r="G299" s="6" t="s">
        <v>127</v>
      </c>
    </row>
    <row r="300" customFormat="false" ht="15" hidden="false" customHeight="false" outlineLevel="0" collapsed="false">
      <c r="A300" s="6" t="s">
        <v>130</v>
      </c>
      <c r="B300" s="6" t="s">
        <v>116</v>
      </c>
      <c r="C300" s="6" t="n">
        <v>60</v>
      </c>
      <c r="D300" s="6" t="s">
        <v>45</v>
      </c>
      <c r="E300" s="6" t="n">
        <v>37.7</v>
      </c>
      <c r="F300" s="6" t="n">
        <v>95.5</v>
      </c>
      <c r="G300" s="6" t="s">
        <v>127</v>
      </c>
    </row>
    <row r="301" customFormat="false" ht="15" hidden="false" customHeight="false" outlineLevel="0" collapsed="false">
      <c r="A301" s="6" t="s">
        <v>130</v>
      </c>
      <c r="B301" s="6" t="s">
        <v>116</v>
      </c>
      <c r="C301" s="6" t="n">
        <v>60</v>
      </c>
      <c r="D301" s="6" t="s">
        <v>46</v>
      </c>
      <c r="E301" s="6" t="n">
        <v>34.8</v>
      </c>
      <c r="F301" s="6" t="n">
        <v>96.9</v>
      </c>
      <c r="G301" s="6" t="s">
        <v>127</v>
      </c>
    </row>
    <row r="302" customFormat="false" ht="15" hidden="false" customHeight="false" outlineLevel="0" collapsed="false">
      <c r="A302" s="6" t="s">
        <v>130</v>
      </c>
      <c r="B302" s="6" t="s">
        <v>116</v>
      </c>
      <c r="C302" s="6" t="n">
        <v>60</v>
      </c>
      <c r="D302" s="6" t="s">
        <v>47</v>
      </c>
      <c r="E302" s="6" t="n">
        <v>46.3</v>
      </c>
      <c r="F302" s="6" t="n">
        <v>95.2</v>
      </c>
      <c r="G302" s="6" t="s">
        <v>127</v>
      </c>
    </row>
    <row r="303" customFormat="false" ht="15" hidden="false" customHeight="false" outlineLevel="0" collapsed="false">
      <c r="A303" s="6" t="s">
        <v>130</v>
      </c>
      <c r="B303" s="6" t="s">
        <v>116</v>
      </c>
      <c r="C303" s="6" t="n">
        <v>60</v>
      </c>
      <c r="D303" s="6" t="s">
        <v>48</v>
      </c>
      <c r="E303" s="6" t="n">
        <v>39.2</v>
      </c>
      <c r="F303" s="6" t="n">
        <v>94.2</v>
      </c>
      <c r="G303" s="6" t="s">
        <v>127</v>
      </c>
    </row>
    <row r="304" customFormat="false" ht="15" hidden="false" customHeight="false" outlineLevel="0" collapsed="false">
      <c r="A304" s="6" t="s">
        <v>130</v>
      </c>
      <c r="B304" s="6" t="s">
        <v>116</v>
      </c>
      <c r="C304" s="6" t="n">
        <v>60</v>
      </c>
      <c r="D304" s="6" t="s">
        <v>49</v>
      </c>
      <c r="E304" s="6" t="n">
        <v>57.8</v>
      </c>
      <c r="F304" s="6" t="n">
        <v>93.8</v>
      </c>
      <c r="G304" s="6" t="s">
        <v>127</v>
      </c>
    </row>
    <row r="305" customFormat="false" ht="15" hidden="false" customHeight="false" outlineLevel="0" collapsed="false">
      <c r="A305" s="6" t="s">
        <v>130</v>
      </c>
      <c r="B305" s="6" t="s">
        <v>116</v>
      </c>
      <c r="C305" s="6" t="n">
        <v>60</v>
      </c>
      <c r="D305" s="6" t="s">
        <v>50</v>
      </c>
      <c r="E305" s="6" t="n">
        <v>47.5</v>
      </c>
      <c r="F305" s="6" t="n">
        <v>93.7</v>
      </c>
      <c r="G305" s="6" t="s">
        <v>127</v>
      </c>
    </row>
    <row r="306" customFormat="false" ht="15" hidden="false" customHeight="false" outlineLevel="0" collapsed="false">
      <c r="A306" s="6" t="s">
        <v>130</v>
      </c>
      <c r="B306" s="6" t="s">
        <v>116</v>
      </c>
      <c r="C306" s="6" t="n">
        <v>60</v>
      </c>
      <c r="D306" s="6" t="s">
        <v>51</v>
      </c>
      <c r="E306" s="6" t="n">
        <v>54.8</v>
      </c>
      <c r="F306" s="6" t="n">
        <v>93.6</v>
      </c>
      <c r="G306" s="6" t="s">
        <v>127</v>
      </c>
    </row>
    <row r="307" customFormat="false" ht="15" hidden="false" customHeight="false" outlineLevel="0" collapsed="false">
      <c r="A307" s="6" t="s">
        <v>130</v>
      </c>
      <c r="B307" s="6" t="s">
        <v>116</v>
      </c>
      <c r="C307" s="6" t="n">
        <v>60</v>
      </c>
      <c r="D307" s="6" t="s">
        <v>52</v>
      </c>
      <c r="E307" s="6" t="n">
        <v>40.5</v>
      </c>
      <c r="F307" s="6" t="n">
        <v>93.3</v>
      </c>
      <c r="G307" s="6" t="s">
        <v>127</v>
      </c>
    </row>
    <row r="308" customFormat="false" ht="15" hidden="false" customHeight="false" outlineLevel="0" collapsed="false">
      <c r="A308" s="6" t="s">
        <v>130</v>
      </c>
      <c r="B308" s="6" t="s">
        <v>116</v>
      </c>
      <c r="C308" s="6" t="n">
        <v>60</v>
      </c>
      <c r="D308" s="6" t="s">
        <v>53</v>
      </c>
      <c r="E308" s="6" t="n">
        <v>42.3</v>
      </c>
      <c r="F308" s="6" t="n">
        <v>94.4</v>
      </c>
      <c r="G308" s="6" t="s">
        <v>127</v>
      </c>
    </row>
    <row r="309" customFormat="false" ht="15" hidden="false" customHeight="false" outlineLevel="0" collapsed="false">
      <c r="A309" s="6" t="s">
        <v>130</v>
      </c>
      <c r="B309" s="6" t="s">
        <v>116</v>
      </c>
      <c r="C309" s="6" t="n">
        <v>60</v>
      </c>
      <c r="D309" s="6" t="s">
        <v>54</v>
      </c>
      <c r="E309" s="6" t="n">
        <v>35</v>
      </c>
      <c r="F309" s="6" t="n">
        <v>91.5</v>
      </c>
      <c r="G309" s="6" t="s">
        <v>127</v>
      </c>
    </row>
    <row r="310" customFormat="false" ht="15" hidden="false" customHeight="false" outlineLevel="0" collapsed="false">
      <c r="A310" s="6" t="s">
        <v>130</v>
      </c>
      <c r="B310" s="6" t="s">
        <v>116</v>
      </c>
      <c r="C310" s="6" t="n">
        <v>60</v>
      </c>
      <c r="D310" s="6" t="s">
        <v>55</v>
      </c>
      <c r="E310" s="6" t="n">
        <v>36.5</v>
      </c>
      <c r="F310" s="6" t="n">
        <v>93.9</v>
      </c>
      <c r="G310" s="6" t="s">
        <v>127</v>
      </c>
    </row>
    <row r="311" customFormat="false" ht="15" hidden="false" customHeight="false" outlineLevel="0" collapsed="false">
      <c r="A311" s="6" t="s">
        <v>130</v>
      </c>
      <c r="B311" s="6" t="s">
        <v>116</v>
      </c>
      <c r="C311" s="6" t="n">
        <v>60</v>
      </c>
      <c r="D311" s="6" t="s">
        <v>56</v>
      </c>
      <c r="E311" s="6" t="n">
        <v>35.8</v>
      </c>
      <c r="F311" s="6" t="n">
        <v>92.4</v>
      </c>
      <c r="G311" s="6" t="s">
        <v>127</v>
      </c>
    </row>
    <row r="312" customFormat="false" ht="15" hidden="false" customHeight="false" outlineLevel="0" collapsed="false">
      <c r="A312" s="6" t="s">
        <v>130</v>
      </c>
      <c r="B312" s="6" t="s">
        <v>116</v>
      </c>
      <c r="C312" s="6" t="n">
        <v>60</v>
      </c>
      <c r="D312" s="6" t="s">
        <v>57</v>
      </c>
      <c r="E312" s="6" t="n">
        <v>34.5</v>
      </c>
      <c r="F312" s="6" t="n">
        <v>92.9</v>
      </c>
      <c r="G312" s="6" t="s">
        <v>127</v>
      </c>
    </row>
    <row r="313" customFormat="false" ht="15" hidden="false" customHeight="false" outlineLevel="0" collapsed="false">
      <c r="A313" s="6" t="s">
        <v>130</v>
      </c>
      <c r="B313" s="6" t="s">
        <v>116</v>
      </c>
      <c r="C313" s="6" t="n">
        <v>60</v>
      </c>
      <c r="D313" s="6" t="s">
        <v>58</v>
      </c>
      <c r="E313" s="6" t="n">
        <v>36.5</v>
      </c>
      <c r="F313" s="6" t="n">
        <v>91.2</v>
      </c>
      <c r="G313" s="6" t="s">
        <v>127</v>
      </c>
    </row>
    <row r="314" customFormat="false" ht="15" hidden="false" customHeight="false" outlineLevel="0" collapsed="false">
      <c r="A314" s="6" t="s">
        <v>130</v>
      </c>
      <c r="B314" s="6" t="s">
        <v>116</v>
      </c>
      <c r="C314" s="6" t="n">
        <v>60</v>
      </c>
      <c r="D314" s="6" t="s">
        <v>59</v>
      </c>
      <c r="E314" s="6" t="n">
        <v>34.6</v>
      </c>
      <c r="F314" s="6" t="n">
        <v>93.5</v>
      </c>
      <c r="G314" s="6" t="s">
        <v>127</v>
      </c>
    </row>
    <row r="315" customFormat="false" ht="15" hidden="false" customHeight="false" outlineLevel="0" collapsed="false">
      <c r="A315" s="6" t="s">
        <v>130</v>
      </c>
      <c r="B315" s="6" t="s">
        <v>116</v>
      </c>
      <c r="C315" s="6" t="n">
        <v>60</v>
      </c>
      <c r="D315" s="6" t="s">
        <v>60</v>
      </c>
      <c r="E315" s="6" t="n">
        <v>33.1</v>
      </c>
      <c r="F315" s="6" t="n">
        <v>93.1</v>
      </c>
      <c r="G315" s="6" t="s">
        <v>127</v>
      </c>
    </row>
    <row r="316" customFormat="false" ht="15" hidden="false" customHeight="false" outlineLevel="0" collapsed="false">
      <c r="A316" s="6" t="s">
        <v>130</v>
      </c>
      <c r="B316" s="6" t="s">
        <v>116</v>
      </c>
      <c r="C316" s="6" t="n">
        <v>60</v>
      </c>
      <c r="D316" s="6" t="s">
        <v>61</v>
      </c>
      <c r="E316" s="6" t="n">
        <v>31.6</v>
      </c>
      <c r="F316" s="6" t="n">
        <v>92.6</v>
      </c>
      <c r="G316" s="6" t="s">
        <v>127</v>
      </c>
    </row>
    <row r="317" customFormat="false" ht="15" hidden="false" customHeight="false" outlineLevel="0" collapsed="false">
      <c r="A317" s="6" t="s">
        <v>130</v>
      </c>
      <c r="B317" s="6" t="s">
        <v>116</v>
      </c>
      <c r="C317" s="6" t="n">
        <v>60</v>
      </c>
      <c r="D317" s="6" t="s">
        <v>62</v>
      </c>
      <c r="E317" s="6" t="n">
        <v>40.8</v>
      </c>
      <c r="F317" s="6" t="n">
        <v>90</v>
      </c>
      <c r="G317" s="6" t="s">
        <v>127</v>
      </c>
    </row>
    <row r="318" customFormat="false" ht="15" hidden="false" customHeight="false" outlineLevel="0" collapsed="false">
      <c r="A318" s="6" t="s">
        <v>130</v>
      </c>
      <c r="B318" s="6" t="s">
        <v>116</v>
      </c>
      <c r="C318" s="6" t="n">
        <v>60</v>
      </c>
      <c r="D318" s="6" t="s">
        <v>63</v>
      </c>
      <c r="E318" s="6" t="n">
        <v>38.9</v>
      </c>
      <c r="F318" s="6" t="n">
        <v>92.1</v>
      </c>
      <c r="G318" s="6" t="s">
        <v>127</v>
      </c>
    </row>
    <row r="319" customFormat="false" ht="15" hidden="false" customHeight="false" outlineLevel="0" collapsed="false">
      <c r="A319" s="6" t="s">
        <v>130</v>
      </c>
      <c r="B319" s="6" t="s">
        <v>116</v>
      </c>
      <c r="C319" s="6" t="n">
        <v>60</v>
      </c>
      <c r="D319" s="6" t="s">
        <v>64</v>
      </c>
      <c r="E319" s="6" t="n">
        <v>45</v>
      </c>
      <c r="F319" s="6" t="n">
        <v>91.4</v>
      </c>
      <c r="G319" s="6" t="s">
        <v>127</v>
      </c>
    </row>
    <row r="320" customFormat="false" ht="15" hidden="false" customHeight="false" outlineLevel="0" collapsed="false">
      <c r="A320" s="6" t="s">
        <v>130</v>
      </c>
      <c r="B320" s="6" t="s">
        <v>116</v>
      </c>
      <c r="C320" s="6" t="n">
        <v>60</v>
      </c>
      <c r="D320" s="6" t="s">
        <v>65</v>
      </c>
      <c r="E320" s="6" t="n">
        <v>45.2</v>
      </c>
      <c r="F320" s="6" t="n">
        <v>89.2</v>
      </c>
      <c r="G320" s="6" t="s">
        <v>127</v>
      </c>
    </row>
    <row r="321" customFormat="false" ht="15" hidden="false" customHeight="false" outlineLevel="0" collapsed="false">
      <c r="A321" s="6" t="s">
        <v>130</v>
      </c>
      <c r="B321" s="6" t="s">
        <v>116</v>
      </c>
      <c r="C321" s="6" t="n">
        <v>60</v>
      </c>
      <c r="D321" s="6" t="s">
        <v>66</v>
      </c>
      <c r="E321" s="6" t="n">
        <v>42.7</v>
      </c>
      <c r="F321" s="6" t="n">
        <v>90.6</v>
      </c>
      <c r="G321" s="6" t="s">
        <v>127</v>
      </c>
    </row>
    <row r="322" customFormat="false" ht="15" hidden="false" customHeight="false" outlineLevel="0" collapsed="false">
      <c r="A322" s="6" t="s">
        <v>130</v>
      </c>
      <c r="B322" s="6" t="s">
        <v>116</v>
      </c>
      <c r="C322" s="6" t="n">
        <v>60</v>
      </c>
      <c r="D322" s="6" t="s">
        <v>67</v>
      </c>
      <c r="E322" s="6" t="n">
        <v>38.9</v>
      </c>
      <c r="F322" s="6" t="n">
        <v>90.7</v>
      </c>
      <c r="G322" s="6" t="s">
        <v>127</v>
      </c>
    </row>
    <row r="323" customFormat="false" ht="15" hidden="false" customHeight="false" outlineLevel="0" collapsed="false">
      <c r="A323" s="6" t="s">
        <v>130</v>
      </c>
      <c r="B323" s="6" t="s">
        <v>116</v>
      </c>
      <c r="C323" s="6" t="n">
        <v>60</v>
      </c>
      <c r="D323" s="6" t="s">
        <v>68</v>
      </c>
      <c r="E323" s="6" t="n">
        <v>37.6</v>
      </c>
      <c r="F323" s="6" t="n">
        <v>90.7</v>
      </c>
      <c r="G323" s="6" t="s">
        <v>127</v>
      </c>
    </row>
    <row r="324" customFormat="false" ht="15" hidden="false" customHeight="false" outlineLevel="0" collapsed="false">
      <c r="A324" s="6" t="s">
        <v>130</v>
      </c>
      <c r="B324" s="6" t="s">
        <v>116</v>
      </c>
      <c r="C324" s="6" t="n">
        <v>60</v>
      </c>
      <c r="D324" s="6" t="s">
        <v>69</v>
      </c>
      <c r="E324" s="6" t="n">
        <v>35.8</v>
      </c>
      <c r="F324" s="6" t="n">
        <v>90.1</v>
      </c>
      <c r="G324" s="6" t="s">
        <v>127</v>
      </c>
    </row>
    <row r="325" customFormat="false" ht="15" hidden="false" customHeight="false" outlineLevel="0" collapsed="false">
      <c r="A325" s="6" t="s">
        <v>130</v>
      </c>
      <c r="B325" s="6" t="s">
        <v>116</v>
      </c>
      <c r="C325" s="6" t="n">
        <v>60</v>
      </c>
      <c r="D325" s="6" t="s">
        <v>70</v>
      </c>
      <c r="E325" s="6" t="n">
        <v>32.7</v>
      </c>
      <c r="F325" s="6" t="n">
        <v>90</v>
      </c>
      <c r="G325" s="6" t="s">
        <v>127</v>
      </c>
    </row>
    <row r="326" customFormat="false" ht="15" hidden="false" customHeight="false" outlineLevel="0" collapsed="false">
      <c r="A326" s="6" t="s">
        <v>130</v>
      </c>
      <c r="B326" s="6" t="s">
        <v>116</v>
      </c>
      <c r="C326" s="6" t="n">
        <v>60</v>
      </c>
      <c r="D326" s="6" t="s">
        <v>71</v>
      </c>
      <c r="E326" s="6" t="n">
        <v>31.4</v>
      </c>
      <c r="F326" s="6" t="n">
        <v>91</v>
      </c>
      <c r="G326" s="6" t="s">
        <v>127</v>
      </c>
    </row>
    <row r="327" customFormat="false" ht="15" hidden="false" customHeight="false" outlineLevel="0" collapsed="false">
      <c r="A327" s="6" t="s">
        <v>130</v>
      </c>
      <c r="B327" s="6" t="s">
        <v>116</v>
      </c>
      <c r="C327" s="6" t="n">
        <v>60</v>
      </c>
      <c r="D327" s="6" t="s">
        <v>72</v>
      </c>
      <c r="E327" s="6" t="n">
        <v>38.1</v>
      </c>
      <c r="F327" s="6" t="n">
        <v>90.5</v>
      </c>
      <c r="G327" s="6" t="s">
        <v>127</v>
      </c>
    </row>
    <row r="328" customFormat="false" ht="15" hidden="false" customHeight="false" outlineLevel="0" collapsed="false">
      <c r="A328" s="6" t="s">
        <v>130</v>
      </c>
      <c r="B328" s="6" t="s">
        <v>116</v>
      </c>
      <c r="C328" s="6" t="n">
        <v>60</v>
      </c>
      <c r="D328" s="6" t="s">
        <v>73</v>
      </c>
      <c r="E328" s="6" t="n">
        <v>41.2</v>
      </c>
      <c r="F328" s="6" t="n">
        <v>86.2</v>
      </c>
      <c r="G328" s="6" t="s">
        <v>127</v>
      </c>
    </row>
    <row r="329" customFormat="false" ht="15" hidden="false" customHeight="false" outlineLevel="0" collapsed="false">
      <c r="A329" s="6" t="s">
        <v>130</v>
      </c>
      <c r="B329" s="6" t="s">
        <v>116</v>
      </c>
      <c r="C329" s="6" t="n">
        <v>60</v>
      </c>
      <c r="D329" s="6" t="s">
        <v>74</v>
      </c>
      <c r="E329" s="6" t="n">
        <v>40.7</v>
      </c>
      <c r="F329" s="6" t="n">
        <v>88.5</v>
      </c>
      <c r="G329" s="6" t="s">
        <v>127</v>
      </c>
    </row>
    <row r="330" customFormat="false" ht="15" hidden="false" customHeight="false" outlineLevel="0" collapsed="false">
      <c r="A330" s="6" t="s">
        <v>130</v>
      </c>
      <c r="B330" s="6" t="s">
        <v>116</v>
      </c>
      <c r="C330" s="6" t="n">
        <v>60</v>
      </c>
      <c r="D330" s="6" t="s">
        <v>75</v>
      </c>
      <c r="E330" s="6" t="n">
        <v>32.4</v>
      </c>
      <c r="F330" s="6" t="n">
        <v>88.5</v>
      </c>
      <c r="G330" s="6" t="s">
        <v>127</v>
      </c>
    </row>
    <row r="331" customFormat="false" ht="15" hidden="false" customHeight="false" outlineLevel="0" collapsed="false">
      <c r="A331" s="6" t="s">
        <v>130</v>
      </c>
      <c r="B331" s="6" t="s">
        <v>116</v>
      </c>
      <c r="C331" s="6" t="n">
        <v>60</v>
      </c>
      <c r="D331" s="6" t="s">
        <v>76</v>
      </c>
      <c r="E331" s="6" t="n">
        <v>38.9</v>
      </c>
      <c r="F331" s="6" t="n">
        <v>86.7</v>
      </c>
      <c r="G331" s="6" t="s">
        <v>127</v>
      </c>
    </row>
    <row r="332" customFormat="false" ht="15" hidden="false" customHeight="false" outlineLevel="0" collapsed="false">
      <c r="A332" s="6" t="s">
        <v>130</v>
      </c>
      <c r="B332" s="6" t="s">
        <v>116</v>
      </c>
      <c r="C332" s="6" t="n">
        <v>60</v>
      </c>
      <c r="D332" s="6" t="s">
        <v>77</v>
      </c>
      <c r="E332" s="6" t="n">
        <v>40.8</v>
      </c>
      <c r="F332" s="6" t="n">
        <v>88.3</v>
      </c>
      <c r="G332" s="6" t="s">
        <v>127</v>
      </c>
    </row>
    <row r="333" customFormat="false" ht="15" hidden="false" customHeight="false" outlineLevel="0" collapsed="false">
      <c r="A333" s="6" t="s">
        <v>130</v>
      </c>
      <c r="B333" s="6" t="s">
        <v>116</v>
      </c>
      <c r="C333" s="6" t="n">
        <v>60</v>
      </c>
      <c r="D333" s="6" t="s">
        <v>78</v>
      </c>
      <c r="E333" s="6" t="n">
        <v>39.9</v>
      </c>
      <c r="F333" s="6" t="n">
        <v>89.2</v>
      </c>
      <c r="G333" s="6" t="s">
        <v>127</v>
      </c>
    </row>
    <row r="334" customFormat="false" ht="15" hidden="false" customHeight="false" outlineLevel="0" collapsed="false">
      <c r="A334" s="6" t="s">
        <v>130</v>
      </c>
      <c r="B334" s="6" t="s">
        <v>116</v>
      </c>
      <c r="C334" s="6" t="n">
        <v>60</v>
      </c>
      <c r="D334" s="6" t="s">
        <v>79</v>
      </c>
      <c r="E334" s="6" t="n">
        <v>36</v>
      </c>
      <c r="F334" s="6" t="n">
        <v>86.7</v>
      </c>
      <c r="G334" s="6" t="s">
        <v>127</v>
      </c>
    </row>
    <row r="335" customFormat="false" ht="15" hidden="false" customHeight="false" outlineLevel="0" collapsed="false">
      <c r="A335" s="6" t="s">
        <v>130</v>
      </c>
      <c r="B335" s="6" t="s">
        <v>116</v>
      </c>
      <c r="C335" s="6" t="n">
        <v>60</v>
      </c>
      <c r="D335" s="6" t="s">
        <v>80</v>
      </c>
      <c r="E335" s="6" t="n">
        <v>35.9</v>
      </c>
      <c r="F335" s="6" t="n">
        <v>87.9</v>
      </c>
      <c r="G335" s="6" t="s">
        <v>127</v>
      </c>
    </row>
    <row r="336" customFormat="false" ht="15" hidden="false" customHeight="false" outlineLevel="0" collapsed="false">
      <c r="A336" s="6" t="s">
        <v>130</v>
      </c>
      <c r="B336" s="6" t="s">
        <v>116</v>
      </c>
      <c r="C336" s="6" t="n">
        <v>60</v>
      </c>
      <c r="D336" s="6" t="s">
        <v>81</v>
      </c>
      <c r="E336" s="6" t="n">
        <v>36.3</v>
      </c>
      <c r="F336" s="6" t="n">
        <v>86.4</v>
      </c>
      <c r="G336" s="6" t="s">
        <v>127</v>
      </c>
    </row>
    <row r="337" customFormat="false" ht="15" hidden="false" customHeight="false" outlineLevel="0" collapsed="false">
      <c r="A337" s="6" t="s">
        <v>130</v>
      </c>
      <c r="B337" s="6" t="s">
        <v>116</v>
      </c>
      <c r="C337" s="6" t="n">
        <v>60</v>
      </c>
      <c r="D337" s="6" t="s">
        <v>82</v>
      </c>
      <c r="E337" s="6" t="n">
        <v>45.3</v>
      </c>
      <c r="F337" s="6" t="n">
        <v>86.4</v>
      </c>
      <c r="G337" s="6" t="s">
        <v>127</v>
      </c>
    </row>
    <row r="338" customFormat="false" ht="15" hidden="false" customHeight="false" outlineLevel="0" collapsed="false">
      <c r="A338" s="6" t="s">
        <v>130</v>
      </c>
      <c r="B338" s="6" t="s">
        <v>116</v>
      </c>
      <c r="C338" s="6" t="n">
        <v>60</v>
      </c>
      <c r="D338" s="6" t="s">
        <v>83</v>
      </c>
      <c r="E338" s="6" t="n">
        <v>45.4</v>
      </c>
      <c r="F338" s="6" t="n">
        <v>88.3</v>
      </c>
      <c r="G338" s="6" t="s">
        <v>127</v>
      </c>
    </row>
    <row r="339" customFormat="false" ht="15" hidden="false" customHeight="false" outlineLevel="0" collapsed="false">
      <c r="A339" s="6" t="s">
        <v>130</v>
      </c>
      <c r="B339" s="6" t="s">
        <v>116</v>
      </c>
      <c r="C339" s="6" t="n">
        <v>60</v>
      </c>
      <c r="D339" s="6" t="s">
        <v>84</v>
      </c>
      <c r="E339" s="6" t="n">
        <v>41.9</v>
      </c>
      <c r="F339" s="6" t="n">
        <v>86.1</v>
      </c>
      <c r="G339" s="6" t="s">
        <v>127</v>
      </c>
    </row>
    <row r="340" customFormat="false" ht="15" hidden="false" customHeight="false" outlineLevel="0" collapsed="false">
      <c r="A340" s="6" t="s">
        <v>130</v>
      </c>
      <c r="B340" s="6" t="s">
        <v>116</v>
      </c>
      <c r="C340" s="6" t="n">
        <v>60</v>
      </c>
      <c r="D340" s="6" t="s">
        <v>85</v>
      </c>
      <c r="E340" s="6" t="n">
        <v>39.6</v>
      </c>
      <c r="F340" s="6" t="n">
        <v>86.9</v>
      </c>
      <c r="G340" s="6" t="s">
        <v>127</v>
      </c>
    </row>
    <row r="341" customFormat="false" ht="15" hidden="false" customHeight="false" outlineLevel="0" collapsed="false">
      <c r="A341" s="6" t="s">
        <v>130</v>
      </c>
      <c r="B341" s="6" t="s">
        <v>116</v>
      </c>
      <c r="C341" s="6" t="n">
        <v>60</v>
      </c>
      <c r="D341" s="6" t="s">
        <v>86</v>
      </c>
      <c r="E341" s="6" t="n">
        <v>36.2</v>
      </c>
      <c r="F341" s="6" t="n">
        <v>84.3</v>
      </c>
      <c r="G341" s="6" t="s">
        <v>127</v>
      </c>
    </row>
    <row r="342" customFormat="false" ht="15" hidden="false" customHeight="false" outlineLevel="0" collapsed="false">
      <c r="A342" s="6" t="s">
        <v>130</v>
      </c>
      <c r="B342" s="6" t="s">
        <v>116</v>
      </c>
      <c r="C342" s="6" t="n">
        <v>60</v>
      </c>
      <c r="D342" s="6" t="s">
        <v>87</v>
      </c>
      <c r="E342" s="6" t="n">
        <v>40.3</v>
      </c>
      <c r="F342" s="6" t="n">
        <v>87.9</v>
      </c>
      <c r="G342" s="6" t="s">
        <v>127</v>
      </c>
    </row>
    <row r="343" customFormat="false" ht="15" hidden="false" customHeight="false" outlineLevel="0" collapsed="false">
      <c r="A343" s="6" t="s">
        <v>130</v>
      </c>
      <c r="B343" s="6" t="s">
        <v>116</v>
      </c>
      <c r="C343" s="6" t="n">
        <v>60</v>
      </c>
      <c r="D343" s="6" t="s">
        <v>88</v>
      </c>
      <c r="E343" s="6" t="n">
        <v>39.6</v>
      </c>
      <c r="F343" s="6" t="n">
        <v>86.4</v>
      </c>
      <c r="G343" s="6" t="s">
        <v>127</v>
      </c>
    </row>
    <row r="344" customFormat="false" ht="15" hidden="false" customHeight="false" outlineLevel="0" collapsed="false">
      <c r="A344" s="6" t="s">
        <v>130</v>
      </c>
      <c r="B344" s="6" t="s">
        <v>116</v>
      </c>
      <c r="C344" s="6" t="n">
        <v>60</v>
      </c>
      <c r="D344" s="6" t="s">
        <v>89</v>
      </c>
      <c r="E344" s="6" t="n">
        <v>51.3</v>
      </c>
      <c r="F344" s="6" t="n">
        <v>85.4</v>
      </c>
      <c r="G344" s="6" t="s">
        <v>127</v>
      </c>
    </row>
    <row r="345" customFormat="false" ht="15" hidden="false" customHeight="false" outlineLevel="0" collapsed="false">
      <c r="A345" s="6" t="s">
        <v>130</v>
      </c>
      <c r="B345" s="6" t="s">
        <v>116</v>
      </c>
      <c r="C345" s="6" t="n">
        <v>60</v>
      </c>
      <c r="D345" s="6" t="s">
        <v>90</v>
      </c>
      <c r="E345" s="6" t="n">
        <v>47.7</v>
      </c>
      <c r="F345" s="6" t="n">
        <v>85.9</v>
      </c>
      <c r="G345" s="6" t="s">
        <v>127</v>
      </c>
    </row>
    <row r="346" customFormat="false" ht="15" hidden="false" customHeight="false" outlineLevel="0" collapsed="false">
      <c r="A346" s="6" t="s">
        <v>130</v>
      </c>
      <c r="B346" s="6" t="s">
        <v>116</v>
      </c>
      <c r="C346" s="6" t="n">
        <v>60</v>
      </c>
      <c r="D346" s="6" t="s">
        <v>91</v>
      </c>
      <c r="E346" s="6" t="n">
        <v>46.8</v>
      </c>
      <c r="F346" s="6" t="n">
        <v>83.7</v>
      </c>
      <c r="G346" s="6" t="s">
        <v>127</v>
      </c>
    </row>
    <row r="347" customFormat="false" ht="15" hidden="false" customHeight="false" outlineLevel="0" collapsed="false">
      <c r="A347" s="6" t="s">
        <v>130</v>
      </c>
      <c r="B347" s="6" t="s">
        <v>116</v>
      </c>
      <c r="C347" s="6" t="n">
        <v>60</v>
      </c>
      <c r="D347" s="6" t="s">
        <v>92</v>
      </c>
      <c r="E347" s="6" t="n">
        <v>36.3</v>
      </c>
      <c r="F347" s="6" t="n">
        <v>86.1</v>
      </c>
      <c r="G347" s="6" t="s">
        <v>127</v>
      </c>
    </row>
    <row r="348" customFormat="false" ht="15" hidden="false" customHeight="false" outlineLevel="0" collapsed="false">
      <c r="A348" s="6" t="s">
        <v>130</v>
      </c>
      <c r="B348" s="6" t="s">
        <v>116</v>
      </c>
      <c r="C348" s="6" t="n">
        <v>60</v>
      </c>
      <c r="D348" s="6" t="s">
        <v>93</v>
      </c>
      <c r="E348" s="6" t="n">
        <v>29</v>
      </c>
      <c r="F348" s="6" t="n">
        <v>84.4</v>
      </c>
      <c r="G348" s="6" t="s">
        <v>127</v>
      </c>
    </row>
    <row r="349" customFormat="false" ht="15" hidden="false" customHeight="false" outlineLevel="0" collapsed="false">
      <c r="A349" s="6" t="s">
        <v>130</v>
      </c>
      <c r="B349" s="6" t="s">
        <v>116</v>
      </c>
      <c r="C349" s="6" t="n">
        <v>60</v>
      </c>
      <c r="D349" s="6" t="s">
        <v>94</v>
      </c>
      <c r="E349" s="6" t="n">
        <v>31.9</v>
      </c>
      <c r="F349" s="6" t="n">
        <v>84.3</v>
      </c>
      <c r="G349" s="6" t="s">
        <v>127</v>
      </c>
    </row>
    <row r="350" customFormat="false" ht="15" hidden="false" customHeight="false" outlineLevel="0" collapsed="false">
      <c r="A350" s="6" t="s">
        <v>130</v>
      </c>
      <c r="B350" s="6" t="s">
        <v>116</v>
      </c>
      <c r="C350" s="6" t="n">
        <v>60</v>
      </c>
      <c r="D350" s="6" t="s">
        <v>95</v>
      </c>
      <c r="E350" s="6" t="n">
        <v>29.7</v>
      </c>
      <c r="F350" s="6" t="n">
        <v>83.8</v>
      </c>
      <c r="G350" s="6" t="s">
        <v>127</v>
      </c>
    </row>
    <row r="351" customFormat="false" ht="15" hidden="false" customHeight="false" outlineLevel="0" collapsed="false">
      <c r="A351" s="6" t="s">
        <v>130</v>
      </c>
      <c r="B351" s="6" t="s">
        <v>116</v>
      </c>
      <c r="C351" s="6" t="n">
        <v>60</v>
      </c>
      <c r="D351" s="6" t="s">
        <v>96</v>
      </c>
      <c r="E351" s="6" t="n">
        <v>35.8</v>
      </c>
      <c r="F351" s="6" t="n">
        <v>83.4</v>
      </c>
      <c r="G351" s="6" t="s">
        <v>127</v>
      </c>
    </row>
    <row r="352" customFormat="false" ht="15" hidden="false" customHeight="false" outlineLevel="0" collapsed="false">
      <c r="A352" s="6" t="s">
        <v>130</v>
      </c>
      <c r="B352" s="6" t="s">
        <v>116</v>
      </c>
      <c r="C352" s="6" t="n">
        <v>60</v>
      </c>
      <c r="D352" s="6" t="s">
        <v>97</v>
      </c>
      <c r="E352" s="6" t="n">
        <v>36</v>
      </c>
      <c r="F352" s="6" t="n">
        <v>84.5</v>
      </c>
      <c r="G352" s="6" t="s">
        <v>127</v>
      </c>
    </row>
    <row r="353" customFormat="false" ht="15" hidden="false" customHeight="false" outlineLevel="0" collapsed="false">
      <c r="A353" s="6" t="s">
        <v>130</v>
      </c>
      <c r="B353" s="6" t="s">
        <v>116</v>
      </c>
      <c r="C353" s="6" t="n">
        <v>60</v>
      </c>
      <c r="D353" s="6" t="s">
        <v>98</v>
      </c>
      <c r="E353" s="6" t="n">
        <v>37.9</v>
      </c>
      <c r="F353" s="6" t="n">
        <v>83.8</v>
      </c>
      <c r="G353" s="6" t="s">
        <v>127</v>
      </c>
    </row>
    <row r="354" customFormat="false" ht="15" hidden="false" customHeight="false" outlineLevel="0" collapsed="false">
      <c r="A354" s="6" t="s">
        <v>130</v>
      </c>
      <c r="B354" s="6" t="s">
        <v>116</v>
      </c>
      <c r="C354" s="6" t="n">
        <v>60</v>
      </c>
      <c r="D354" s="6" t="s">
        <v>99</v>
      </c>
      <c r="E354" s="6" t="n">
        <v>38.1</v>
      </c>
      <c r="F354" s="6" t="n">
        <v>84</v>
      </c>
      <c r="G354" s="6" t="s">
        <v>127</v>
      </c>
    </row>
    <row r="355" customFormat="false" ht="15" hidden="false" customHeight="false" outlineLevel="0" collapsed="false">
      <c r="A355" s="6" t="s">
        <v>130</v>
      </c>
      <c r="B355" s="6" t="s">
        <v>116</v>
      </c>
      <c r="C355" s="6" t="n">
        <v>60</v>
      </c>
      <c r="D355" s="6" t="s">
        <v>100</v>
      </c>
      <c r="E355" s="6" t="n">
        <v>44.7</v>
      </c>
      <c r="F355" s="6" t="n">
        <v>83.1</v>
      </c>
      <c r="G355" s="6" t="s">
        <v>127</v>
      </c>
    </row>
    <row r="356" customFormat="false" ht="15" hidden="false" customHeight="false" outlineLevel="0" collapsed="false">
      <c r="A356" s="6" t="s">
        <v>130</v>
      </c>
      <c r="B356" s="6" t="s">
        <v>116</v>
      </c>
      <c r="C356" s="6" t="n">
        <v>60</v>
      </c>
      <c r="D356" s="6" t="s">
        <v>101</v>
      </c>
      <c r="E356" s="6" t="n">
        <v>43.1</v>
      </c>
      <c r="F356" s="6" t="n">
        <v>83.4</v>
      </c>
      <c r="G356" s="6" t="s">
        <v>127</v>
      </c>
    </row>
    <row r="357" customFormat="false" ht="15" hidden="false" customHeight="false" outlineLevel="0" collapsed="false">
      <c r="A357" s="6" t="s">
        <v>130</v>
      </c>
      <c r="B357" s="6" t="s">
        <v>116</v>
      </c>
      <c r="C357" s="6" t="n">
        <v>60</v>
      </c>
      <c r="D357" s="6" t="s">
        <v>102</v>
      </c>
      <c r="E357" s="6" t="n">
        <v>44.7</v>
      </c>
      <c r="F357" s="6" t="n">
        <v>82.3</v>
      </c>
      <c r="G357" s="6" t="s">
        <v>127</v>
      </c>
    </row>
    <row r="358" customFormat="false" ht="15" hidden="false" customHeight="false" outlineLevel="0" collapsed="false">
      <c r="A358" s="6" t="s">
        <v>130</v>
      </c>
      <c r="B358" s="6" t="s">
        <v>116</v>
      </c>
      <c r="C358" s="6" t="n">
        <v>60</v>
      </c>
      <c r="D358" s="6" t="s">
        <v>103</v>
      </c>
      <c r="E358" s="6" t="n">
        <v>37.1</v>
      </c>
      <c r="F358" s="6" t="n">
        <v>84.7</v>
      </c>
      <c r="G358" s="6" t="s">
        <v>127</v>
      </c>
    </row>
    <row r="359" customFormat="false" ht="15" hidden="false" customHeight="false" outlineLevel="0" collapsed="false">
      <c r="A359" s="6" t="s">
        <v>130</v>
      </c>
      <c r="B359" s="6" t="s">
        <v>116</v>
      </c>
      <c r="C359" s="6" t="n">
        <v>60</v>
      </c>
      <c r="D359" s="6" t="s">
        <v>104</v>
      </c>
      <c r="E359" s="6" t="n">
        <v>39.2</v>
      </c>
      <c r="F359" s="6" t="n">
        <v>80.7</v>
      </c>
      <c r="G359" s="6" t="s">
        <v>127</v>
      </c>
    </row>
    <row r="360" customFormat="false" ht="15" hidden="false" customHeight="false" outlineLevel="0" collapsed="false">
      <c r="A360" s="6" t="s">
        <v>130</v>
      </c>
      <c r="B360" s="6" t="s">
        <v>116</v>
      </c>
      <c r="C360" s="6" t="n">
        <v>60</v>
      </c>
      <c r="D360" s="6" t="s">
        <v>105</v>
      </c>
      <c r="E360" s="6" t="n">
        <v>33.6</v>
      </c>
      <c r="F360" s="6" t="n">
        <v>83.3</v>
      </c>
      <c r="G360" s="6" t="s">
        <v>127</v>
      </c>
    </row>
    <row r="361" customFormat="false" ht="15" hidden="false" customHeight="false" outlineLevel="0" collapsed="false">
      <c r="A361" s="6" t="s">
        <v>130</v>
      </c>
      <c r="B361" s="6" t="s">
        <v>116</v>
      </c>
      <c r="C361" s="6" t="n">
        <v>60</v>
      </c>
      <c r="D361" s="6" t="s">
        <v>106</v>
      </c>
      <c r="E361" s="6" t="n">
        <v>34.3</v>
      </c>
      <c r="F361" s="6" t="n">
        <v>83.2</v>
      </c>
      <c r="G361" s="6" t="s">
        <v>127</v>
      </c>
    </row>
    <row r="362" customFormat="false" ht="15" hidden="false" customHeight="false" outlineLevel="0" collapsed="false">
      <c r="A362" s="6" t="s">
        <v>130</v>
      </c>
      <c r="B362" s="6" t="s">
        <v>116</v>
      </c>
      <c r="C362" s="6" t="n">
        <v>60</v>
      </c>
      <c r="D362" s="6" t="s">
        <v>107</v>
      </c>
      <c r="E362" s="6" t="n">
        <v>32.9</v>
      </c>
      <c r="F362" s="6" t="n">
        <v>80.8</v>
      </c>
      <c r="G362" s="6" t="s">
        <v>127</v>
      </c>
    </row>
    <row r="363" customFormat="false" ht="15" hidden="false" customHeight="false" outlineLevel="0" collapsed="false">
      <c r="A363" s="6" t="s">
        <v>130</v>
      </c>
      <c r="B363" s="6" t="s">
        <v>116</v>
      </c>
      <c r="C363" s="6" t="n">
        <v>60</v>
      </c>
      <c r="D363" s="6" t="s">
        <v>108</v>
      </c>
      <c r="E363" s="6" t="n">
        <v>36.4</v>
      </c>
      <c r="F363" s="6" t="n">
        <v>83.6</v>
      </c>
      <c r="G363" s="6" t="s">
        <v>127</v>
      </c>
    </row>
    <row r="364" customFormat="false" ht="15" hidden="false" customHeight="false" outlineLevel="0" collapsed="false">
      <c r="A364" s="6" t="s">
        <v>130</v>
      </c>
      <c r="B364" s="6" t="s">
        <v>116</v>
      </c>
      <c r="C364" s="6" t="n">
        <v>60</v>
      </c>
      <c r="D364" s="6" t="s">
        <v>109</v>
      </c>
      <c r="E364" s="6" t="n">
        <v>36.8</v>
      </c>
      <c r="F364" s="6" t="n">
        <v>82.2</v>
      </c>
      <c r="G364" s="6" t="s">
        <v>127</v>
      </c>
    </row>
    <row r="365" customFormat="false" ht="15" hidden="false" customHeight="false" outlineLevel="0" collapsed="false">
      <c r="A365" s="6" t="s">
        <v>130</v>
      </c>
      <c r="B365" s="6" t="s">
        <v>116</v>
      </c>
      <c r="C365" s="6" t="n">
        <v>60</v>
      </c>
      <c r="D365" s="6" t="s">
        <v>110</v>
      </c>
      <c r="E365" s="6" t="n">
        <v>41.9</v>
      </c>
      <c r="F365" s="6" t="n">
        <v>81.9</v>
      </c>
      <c r="G365" s="6" t="s">
        <v>127</v>
      </c>
    </row>
    <row r="366" customFormat="false" ht="15" hidden="false" customHeight="false" outlineLevel="0" collapsed="false">
      <c r="A366" s="6" t="s">
        <v>130</v>
      </c>
      <c r="B366" s="6" t="s">
        <v>116</v>
      </c>
      <c r="C366" s="6" t="n">
        <v>60</v>
      </c>
      <c r="D366" s="6" t="s">
        <v>111</v>
      </c>
      <c r="E366" s="6" t="n">
        <v>40.1</v>
      </c>
      <c r="F366" s="6" t="n">
        <v>80.8</v>
      </c>
      <c r="G366" s="6" t="s">
        <v>127</v>
      </c>
    </row>
    <row r="367" customFormat="false" ht="15" hidden="false" customHeight="false" outlineLevel="0" collapsed="false">
      <c r="A367" s="6" t="s">
        <v>130</v>
      </c>
      <c r="B367" s="6" t="s">
        <v>116</v>
      </c>
      <c r="C367" s="6" t="n">
        <v>60</v>
      </c>
      <c r="D367" s="6" t="s">
        <v>112</v>
      </c>
      <c r="E367" s="6" t="n">
        <v>41.1</v>
      </c>
      <c r="F367" s="6" t="n">
        <v>80.3</v>
      </c>
      <c r="G367" s="6" t="s">
        <v>127</v>
      </c>
    </row>
    <row r="368" customFormat="false" ht="15" hidden="false" customHeight="false" outlineLevel="0" collapsed="false">
      <c r="A368" s="6" t="s">
        <v>130</v>
      </c>
      <c r="B368" s="6" t="s">
        <v>116</v>
      </c>
      <c r="C368" s="6" t="n">
        <v>60</v>
      </c>
      <c r="D368" s="6" t="s">
        <v>113</v>
      </c>
      <c r="E368" s="6" t="n">
        <v>51.8</v>
      </c>
      <c r="F368" s="6" t="n">
        <v>80.1</v>
      </c>
      <c r="G368" s="6" t="s">
        <v>127</v>
      </c>
    </row>
    <row r="369" customFormat="false" ht="15" hidden="false" customHeight="false" outlineLevel="0" collapsed="false">
      <c r="A369" s="6" t="s">
        <v>130</v>
      </c>
      <c r="B369" s="6" t="s">
        <v>116</v>
      </c>
      <c r="C369" s="6" t="n">
        <v>60</v>
      </c>
      <c r="D369" s="6" t="s">
        <v>114</v>
      </c>
      <c r="E369" s="6" t="n">
        <v>47.6</v>
      </c>
      <c r="F369" s="6" t="n">
        <v>80.5</v>
      </c>
      <c r="G369" s="6" t="s">
        <v>127</v>
      </c>
    </row>
    <row r="370" customFormat="false" ht="15" hidden="false" customHeight="false" outlineLevel="0" collapsed="false">
      <c r="A370" s="6" t="s">
        <v>131</v>
      </c>
      <c r="B370" s="6" t="s">
        <v>118</v>
      </c>
      <c r="C370" s="6" t="n">
        <v>30</v>
      </c>
      <c r="D370" s="6" t="s">
        <v>23</v>
      </c>
      <c r="E370" s="6" t="n">
        <v>30.2</v>
      </c>
      <c r="F370" s="6" t="n">
        <v>99.3</v>
      </c>
      <c r="G370" s="6" t="s">
        <v>127</v>
      </c>
    </row>
    <row r="371" customFormat="false" ht="15" hidden="false" customHeight="false" outlineLevel="0" collapsed="false">
      <c r="A371" s="6" t="s">
        <v>131</v>
      </c>
      <c r="B371" s="6" t="s">
        <v>118</v>
      </c>
      <c r="C371" s="6" t="n">
        <v>30</v>
      </c>
      <c r="D371" s="6" t="s">
        <v>24</v>
      </c>
      <c r="E371" s="6" t="n">
        <v>30.4</v>
      </c>
      <c r="F371" s="6" t="n">
        <v>100</v>
      </c>
      <c r="G371" s="6" t="s">
        <v>127</v>
      </c>
    </row>
    <row r="372" customFormat="false" ht="15" hidden="false" customHeight="false" outlineLevel="0" collapsed="false">
      <c r="A372" s="6" t="s">
        <v>131</v>
      </c>
      <c r="B372" s="6" t="s">
        <v>118</v>
      </c>
      <c r="C372" s="6" t="n">
        <v>30</v>
      </c>
      <c r="D372" s="6" t="s">
        <v>25</v>
      </c>
      <c r="E372" s="6" t="n">
        <v>32</v>
      </c>
      <c r="F372" s="6" t="n">
        <v>99.1</v>
      </c>
      <c r="G372" s="6" t="s">
        <v>127</v>
      </c>
    </row>
    <row r="373" customFormat="false" ht="15" hidden="false" customHeight="false" outlineLevel="0" collapsed="false">
      <c r="A373" s="6" t="s">
        <v>131</v>
      </c>
      <c r="B373" s="6" t="s">
        <v>118</v>
      </c>
      <c r="C373" s="6" t="n">
        <v>30</v>
      </c>
      <c r="D373" s="6" t="s">
        <v>26</v>
      </c>
      <c r="E373" s="6" t="n">
        <v>39.2</v>
      </c>
      <c r="F373" s="6" t="n">
        <v>97.2</v>
      </c>
      <c r="G373" s="6" t="s">
        <v>127</v>
      </c>
    </row>
    <row r="374" customFormat="false" ht="15" hidden="false" customHeight="false" outlineLevel="0" collapsed="false">
      <c r="A374" s="6" t="s">
        <v>131</v>
      </c>
      <c r="B374" s="6" t="s">
        <v>118</v>
      </c>
      <c r="C374" s="6" t="n">
        <v>30</v>
      </c>
      <c r="D374" s="6" t="s">
        <v>27</v>
      </c>
      <c r="E374" s="6" t="n">
        <v>37.5</v>
      </c>
      <c r="F374" s="6" t="n">
        <v>97.5</v>
      </c>
      <c r="G374" s="6" t="s">
        <v>127</v>
      </c>
    </row>
    <row r="375" customFormat="false" ht="15" hidden="false" customHeight="false" outlineLevel="0" collapsed="false">
      <c r="A375" s="6" t="s">
        <v>131</v>
      </c>
      <c r="B375" s="6" t="s">
        <v>118</v>
      </c>
      <c r="C375" s="6" t="n">
        <v>30</v>
      </c>
      <c r="D375" s="6" t="s">
        <v>28</v>
      </c>
      <c r="E375" s="6" t="n">
        <v>47.3</v>
      </c>
      <c r="F375" s="6" t="n">
        <v>95.7</v>
      </c>
      <c r="G375" s="6" t="s">
        <v>127</v>
      </c>
    </row>
    <row r="376" customFormat="false" ht="15" hidden="false" customHeight="false" outlineLevel="0" collapsed="false">
      <c r="A376" s="6" t="s">
        <v>131</v>
      </c>
      <c r="B376" s="6" t="s">
        <v>118</v>
      </c>
      <c r="C376" s="6" t="n">
        <v>30</v>
      </c>
      <c r="D376" s="6" t="s">
        <v>29</v>
      </c>
      <c r="E376" s="6" t="n">
        <v>36.9</v>
      </c>
      <c r="F376" s="6" t="n">
        <v>98</v>
      </c>
      <c r="G376" s="6" t="s">
        <v>127</v>
      </c>
    </row>
    <row r="377" customFormat="false" ht="15" hidden="false" customHeight="false" outlineLevel="0" collapsed="false">
      <c r="A377" s="6" t="s">
        <v>131</v>
      </c>
      <c r="B377" s="6" t="s">
        <v>118</v>
      </c>
      <c r="C377" s="6" t="n">
        <v>30</v>
      </c>
      <c r="D377" s="6" t="s">
        <v>30</v>
      </c>
      <c r="E377" s="6" t="n">
        <v>42.5</v>
      </c>
      <c r="F377" s="6" t="n">
        <v>97.7</v>
      </c>
      <c r="G377" s="6" t="s">
        <v>127</v>
      </c>
    </row>
    <row r="378" customFormat="false" ht="15" hidden="false" customHeight="false" outlineLevel="0" collapsed="false">
      <c r="A378" s="6" t="s">
        <v>131</v>
      </c>
      <c r="B378" s="6" t="s">
        <v>118</v>
      </c>
      <c r="C378" s="6" t="n">
        <v>30</v>
      </c>
      <c r="D378" s="6" t="s">
        <v>31</v>
      </c>
      <c r="E378" s="6" t="n">
        <v>28.5</v>
      </c>
      <c r="F378" s="6" t="n">
        <v>97.2</v>
      </c>
      <c r="G378" s="6" t="s">
        <v>127</v>
      </c>
    </row>
    <row r="379" customFormat="false" ht="15" hidden="false" customHeight="false" outlineLevel="0" collapsed="false">
      <c r="A379" s="6" t="s">
        <v>131</v>
      </c>
      <c r="B379" s="6" t="s">
        <v>118</v>
      </c>
      <c r="C379" s="6" t="n">
        <v>30</v>
      </c>
      <c r="D379" s="6" t="s">
        <v>32</v>
      </c>
      <c r="E379" s="6" t="n">
        <v>30.8</v>
      </c>
      <c r="F379" s="6" t="n">
        <v>98.4</v>
      </c>
      <c r="G379" s="6" t="s">
        <v>127</v>
      </c>
    </row>
    <row r="380" customFormat="false" ht="15" hidden="false" customHeight="false" outlineLevel="0" collapsed="false">
      <c r="A380" s="6" t="s">
        <v>131</v>
      </c>
      <c r="B380" s="6" t="s">
        <v>118</v>
      </c>
      <c r="C380" s="6" t="n">
        <v>30</v>
      </c>
      <c r="D380" s="6" t="s">
        <v>33</v>
      </c>
      <c r="E380" s="6" t="n">
        <v>26.8</v>
      </c>
      <c r="F380" s="6" t="n">
        <v>98.2</v>
      </c>
      <c r="G380" s="6" t="s">
        <v>127</v>
      </c>
    </row>
    <row r="381" customFormat="false" ht="15" hidden="false" customHeight="false" outlineLevel="0" collapsed="false">
      <c r="A381" s="6" t="s">
        <v>131</v>
      </c>
      <c r="B381" s="6" t="s">
        <v>118</v>
      </c>
      <c r="C381" s="6" t="n">
        <v>30</v>
      </c>
      <c r="D381" s="6" t="s">
        <v>34</v>
      </c>
      <c r="E381" s="6" t="n">
        <v>45.6</v>
      </c>
      <c r="F381" s="6" t="n">
        <v>96.5</v>
      </c>
      <c r="G381" s="6" t="s">
        <v>127</v>
      </c>
    </row>
    <row r="382" customFormat="false" ht="15" hidden="false" customHeight="false" outlineLevel="0" collapsed="false">
      <c r="A382" s="6" t="s">
        <v>131</v>
      </c>
      <c r="B382" s="6" t="s">
        <v>118</v>
      </c>
      <c r="C382" s="6" t="n">
        <v>30</v>
      </c>
      <c r="D382" s="6" t="s">
        <v>35</v>
      </c>
      <c r="E382" s="6" t="n">
        <v>44.4</v>
      </c>
      <c r="F382" s="6" t="n">
        <v>94.2</v>
      </c>
      <c r="G382" s="6" t="s">
        <v>127</v>
      </c>
    </row>
    <row r="383" customFormat="false" ht="15" hidden="false" customHeight="false" outlineLevel="0" collapsed="false">
      <c r="A383" s="6" t="s">
        <v>131</v>
      </c>
      <c r="B383" s="6" t="s">
        <v>118</v>
      </c>
      <c r="C383" s="6" t="n">
        <v>30</v>
      </c>
      <c r="D383" s="6" t="s">
        <v>36</v>
      </c>
      <c r="E383" s="6" t="n">
        <v>62</v>
      </c>
      <c r="F383" s="6" t="n">
        <v>96.7</v>
      </c>
      <c r="G383" s="6" t="s">
        <v>127</v>
      </c>
    </row>
    <row r="384" customFormat="false" ht="15" hidden="false" customHeight="false" outlineLevel="0" collapsed="false">
      <c r="A384" s="6" t="s">
        <v>131</v>
      </c>
      <c r="B384" s="6" t="s">
        <v>118</v>
      </c>
      <c r="C384" s="6" t="n">
        <v>30</v>
      </c>
      <c r="D384" s="6" t="s">
        <v>37</v>
      </c>
      <c r="E384" s="6" t="n">
        <v>62</v>
      </c>
      <c r="F384" s="6" t="n">
        <v>96.3</v>
      </c>
      <c r="G384" s="6" t="s">
        <v>127</v>
      </c>
    </row>
    <row r="385" customFormat="false" ht="15" hidden="false" customHeight="false" outlineLevel="0" collapsed="false">
      <c r="A385" s="6" t="s">
        <v>131</v>
      </c>
      <c r="B385" s="6" t="s">
        <v>118</v>
      </c>
      <c r="C385" s="6" t="n">
        <v>30</v>
      </c>
      <c r="D385" s="6" t="s">
        <v>38</v>
      </c>
      <c r="E385" s="6" t="n">
        <v>62</v>
      </c>
      <c r="F385" s="6" t="n">
        <v>95.8</v>
      </c>
      <c r="G385" s="6" t="s">
        <v>127</v>
      </c>
    </row>
    <row r="386" customFormat="false" ht="15" hidden="false" customHeight="false" outlineLevel="0" collapsed="false">
      <c r="A386" s="6" t="s">
        <v>131</v>
      </c>
      <c r="B386" s="6" t="s">
        <v>118</v>
      </c>
      <c r="C386" s="6" t="n">
        <v>30</v>
      </c>
      <c r="D386" s="6" t="s">
        <v>39</v>
      </c>
      <c r="E386" s="6" t="n">
        <v>40.8</v>
      </c>
      <c r="F386" s="6" t="n">
        <v>96.1</v>
      </c>
      <c r="G386" s="6" t="s">
        <v>127</v>
      </c>
    </row>
    <row r="387" customFormat="false" ht="15" hidden="false" customHeight="false" outlineLevel="0" collapsed="false">
      <c r="A387" s="6" t="s">
        <v>131</v>
      </c>
      <c r="B387" s="6" t="s">
        <v>118</v>
      </c>
      <c r="C387" s="6" t="n">
        <v>30</v>
      </c>
      <c r="D387" s="6" t="s">
        <v>40</v>
      </c>
      <c r="E387" s="6" t="n">
        <v>22.9</v>
      </c>
      <c r="F387" s="6" t="n">
        <v>93.7</v>
      </c>
      <c r="G387" s="6" t="s">
        <v>127</v>
      </c>
    </row>
    <row r="388" customFormat="false" ht="15" hidden="false" customHeight="false" outlineLevel="0" collapsed="false">
      <c r="A388" s="6" t="s">
        <v>131</v>
      </c>
      <c r="B388" s="6" t="s">
        <v>118</v>
      </c>
      <c r="C388" s="6" t="n">
        <v>30</v>
      </c>
      <c r="D388" s="6" t="s">
        <v>41</v>
      </c>
      <c r="E388" s="6" t="n">
        <v>31.2</v>
      </c>
      <c r="F388" s="6" t="n">
        <v>96.6</v>
      </c>
      <c r="G388" s="6" t="s">
        <v>127</v>
      </c>
    </row>
    <row r="389" customFormat="false" ht="15" hidden="false" customHeight="false" outlineLevel="0" collapsed="false">
      <c r="A389" s="6" t="s">
        <v>131</v>
      </c>
      <c r="B389" s="6" t="s">
        <v>118</v>
      </c>
      <c r="C389" s="6" t="n">
        <v>30</v>
      </c>
      <c r="D389" s="6" t="s">
        <v>42</v>
      </c>
      <c r="E389" s="6" t="n">
        <v>62</v>
      </c>
      <c r="F389" s="6" t="n">
        <v>93.3</v>
      </c>
      <c r="G389" s="6" t="s">
        <v>127</v>
      </c>
    </row>
    <row r="390" customFormat="false" ht="15" hidden="false" customHeight="false" outlineLevel="0" collapsed="false">
      <c r="A390" s="6" t="s">
        <v>131</v>
      </c>
      <c r="B390" s="6" t="s">
        <v>118</v>
      </c>
      <c r="C390" s="6" t="n">
        <v>30</v>
      </c>
      <c r="D390" s="6" t="s">
        <v>43</v>
      </c>
      <c r="E390" s="6" t="n">
        <v>62</v>
      </c>
      <c r="F390" s="6" t="n">
        <v>94.7</v>
      </c>
      <c r="G390" s="6" t="s">
        <v>127</v>
      </c>
    </row>
    <row r="391" customFormat="false" ht="15" hidden="false" customHeight="false" outlineLevel="0" collapsed="false">
      <c r="A391" s="6" t="s">
        <v>131</v>
      </c>
      <c r="B391" s="6" t="s">
        <v>118</v>
      </c>
      <c r="C391" s="6" t="n">
        <v>30</v>
      </c>
      <c r="D391" s="6" t="s">
        <v>44</v>
      </c>
      <c r="E391" s="6" t="n">
        <v>62</v>
      </c>
      <c r="F391" s="6" t="n">
        <v>92</v>
      </c>
      <c r="G391" s="6" t="s">
        <v>127</v>
      </c>
    </row>
    <row r="392" customFormat="false" ht="15" hidden="false" customHeight="false" outlineLevel="0" collapsed="false">
      <c r="A392" s="6" t="s">
        <v>131</v>
      </c>
      <c r="B392" s="6" t="s">
        <v>118</v>
      </c>
      <c r="C392" s="6" t="n">
        <v>30</v>
      </c>
      <c r="D392" s="6" t="s">
        <v>45</v>
      </c>
      <c r="E392" s="6" t="n">
        <v>36.3</v>
      </c>
      <c r="F392" s="6" t="n">
        <v>92.4</v>
      </c>
      <c r="G392" s="6" t="s">
        <v>127</v>
      </c>
    </row>
    <row r="393" customFormat="false" ht="15" hidden="false" customHeight="false" outlineLevel="0" collapsed="false">
      <c r="A393" s="6" t="s">
        <v>131</v>
      </c>
      <c r="B393" s="6" t="s">
        <v>118</v>
      </c>
      <c r="C393" s="6" t="n">
        <v>30</v>
      </c>
      <c r="D393" s="6" t="s">
        <v>46</v>
      </c>
      <c r="E393" s="6" t="n">
        <v>48.5</v>
      </c>
      <c r="F393" s="6" t="n">
        <v>94.6</v>
      </c>
      <c r="G393" s="6" t="s">
        <v>127</v>
      </c>
    </row>
    <row r="394" customFormat="false" ht="15" hidden="false" customHeight="false" outlineLevel="0" collapsed="false">
      <c r="A394" s="6" t="s">
        <v>131</v>
      </c>
      <c r="B394" s="6" t="s">
        <v>118</v>
      </c>
      <c r="C394" s="6" t="n">
        <v>30</v>
      </c>
      <c r="D394" s="6" t="s">
        <v>47</v>
      </c>
      <c r="E394" s="6" t="n">
        <v>51.8</v>
      </c>
      <c r="F394" s="6" t="n">
        <v>92.5</v>
      </c>
      <c r="G394" s="6" t="s">
        <v>127</v>
      </c>
    </row>
    <row r="395" customFormat="false" ht="15" hidden="false" customHeight="false" outlineLevel="0" collapsed="false">
      <c r="A395" s="6" t="s">
        <v>131</v>
      </c>
      <c r="B395" s="6" t="s">
        <v>118</v>
      </c>
      <c r="C395" s="6" t="n">
        <v>30</v>
      </c>
      <c r="D395" s="6" t="s">
        <v>48</v>
      </c>
      <c r="E395" s="6" t="n">
        <v>62</v>
      </c>
      <c r="F395" s="6" t="n">
        <v>93.3</v>
      </c>
      <c r="G395" s="6" t="s">
        <v>127</v>
      </c>
    </row>
    <row r="396" customFormat="false" ht="15" hidden="false" customHeight="false" outlineLevel="0" collapsed="false">
      <c r="A396" s="6" t="s">
        <v>131</v>
      </c>
      <c r="B396" s="6" t="s">
        <v>118</v>
      </c>
      <c r="C396" s="6" t="n">
        <v>30</v>
      </c>
      <c r="D396" s="6" t="s">
        <v>49</v>
      </c>
      <c r="E396" s="6" t="n">
        <v>62</v>
      </c>
      <c r="F396" s="6" t="n">
        <v>92.4</v>
      </c>
      <c r="G396" s="6" t="s">
        <v>127</v>
      </c>
    </row>
    <row r="397" customFormat="false" ht="15" hidden="false" customHeight="false" outlineLevel="0" collapsed="false">
      <c r="A397" s="6" t="s">
        <v>131</v>
      </c>
      <c r="B397" s="6" t="s">
        <v>118</v>
      </c>
      <c r="C397" s="6" t="n">
        <v>30</v>
      </c>
      <c r="D397" s="6" t="s">
        <v>50</v>
      </c>
      <c r="E397" s="6" t="n">
        <v>62</v>
      </c>
      <c r="F397" s="6" t="n">
        <v>91.7</v>
      </c>
      <c r="G397" s="6" t="s">
        <v>127</v>
      </c>
    </row>
    <row r="398" customFormat="false" ht="15" hidden="false" customHeight="false" outlineLevel="0" collapsed="false">
      <c r="A398" s="6" t="s">
        <v>131</v>
      </c>
      <c r="B398" s="6" t="s">
        <v>118</v>
      </c>
      <c r="C398" s="6" t="n">
        <v>30</v>
      </c>
      <c r="D398" s="6" t="s">
        <v>51</v>
      </c>
      <c r="E398" s="6" t="n">
        <v>52.9</v>
      </c>
      <c r="F398" s="6" t="n">
        <v>92.9</v>
      </c>
      <c r="G398" s="6" t="s">
        <v>127</v>
      </c>
    </row>
    <row r="399" customFormat="false" ht="15" hidden="false" customHeight="false" outlineLevel="0" collapsed="false">
      <c r="A399" s="6" t="s">
        <v>131</v>
      </c>
      <c r="B399" s="6" t="s">
        <v>118</v>
      </c>
      <c r="C399" s="6" t="n">
        <v>30</v>
      </c>
      <c r="D399" s="6" t="s">
        <v>52</v>
      </c>
      <c r="E399" s="6" t="n">
        <v>41.2</v>
      </c>
      <c r="F399" s="6" t="n">
        <v>91</v>
      </c>
      <c r="G399" s="6" t="s">
        <v>127</v>
      </c>
    </row>
    <row r="400" customFormat="false" ht="15" hidden="false" customHeight="false" outlineLevel="0" collapsed="false">
      <c r="A400" s="6" t="s">
        <v>131</v>
      </c>
      <c r="B400" s="6" t="s">
        <v>118</v>
      </c>
      <c r="C400" s="6" t="n">
        <v>30</v>
      </c>
      <c r="D400" s="6" t="s">
        <v>53</v>
      </c>
      <c r="E400" s="6" t="n">
        <v>31.6</v>
      </c>
      <c r="F400" s="6" t="n">
        <v>89.1</v>
      </c>
      <c r="G400" s="6" t="s">
        <v>127</v>
      </c>
    </row>
    <row r="401" customFormat="false" ht="15" hidden="false" customHeight="false" outlineLevel="0" collapsed="false">
      <c r="A401" s="6" t="s">
        <v>131</v>
      </c>
      <c r="B401" s="6" t="s">
        <v>118</v>
      </c>
      <c r="C401" s="6" t="n">
        <v>30</v>
      </c>
      <c r="D401" s="6" t="s">
        <v>54</v>
      </c>
      <c r="E401" s="6" t="n">
        <v>37.3</v>
      </c>
      <c r="F401" s="6" t="n">
        <v>89.8</v>
      </c>
      <c r="G401" s="6" t="s">
        <v>127</v>
      </c>
    </row>
    <row r="402" customFormat="false" ht="15" hidden="false" customHeight="false" outlineLevel="0" collapsed="false">
      <c r="A402" s="6" t="s">
        <v>131</v>
      </c>
      <c r="B402" s="6" t="s">
        <v>118</v>
      </c>
      <c r="C402" s="6" t="n">
        <v>30</v>
      </c>
      <c r="D402" s="6" t="s">
        <v>55</v>
      </c>
      <c r="E402" s="6" t="n">
        <v>62</v>
      </c>
      <c r="F402" s="6" t="n">
        <v>90.9</v>
      </c>
      <c r="G402" s="6" t="s">
        <v>127</v>
      </c>
    </row>
    <row r="403" customFormat="false" ht="15" hidden="false" customHeight="false" outlineLevel="0" collapsed="false">
      <c r="A403" s="6" t="s">
        <v>131</v>
      </c>
      <c r="B403" s="6" t="s">
        <v>118</v>
      </c>
      <c r="C403" s="6" t="n">
        <v>30</v>
      </c>
      <c r="D403" s="6" t="s">
        <v>56</v>
      </c>
      <c r="E403" s="6" t="n">
        <v>62</v>
      </c>
      <c r="F403" s="6" t="n">
        <v>90.4</v>
      </c>
      <c r="G403" s="6" t="s">
        <v>127</v>
      </c>
    </row>
    <row r="404" customFormat="false" ht="15" hidden="false" customHeight="false" outlineLevel="0" collapsed="false">
      <c r="A404" s="6" t="s">
        <v>131</v>
      </c>
      <c r="B404" s="6" t="s">
        <v>118</v>
      </c>
      <c r="C404" s="6" t="n">
        <v>30</v>
      </c>
      <c r="D404" s="6" t="s">
        <v>57</v>
      </c>
      <c r="E404" s="6" t="n">
        <v>62</v>
      </c>
      <c r="F404" s="6" t="n">
        <v>88.1</v>
      </c>
      <c r="G404" s="6" t="s">
        <v>127</v>
      </c>
    </row>
    <row r="405" customFormat="false" ht="15" hidden="false" customHeight="false" outlineLevel="0" collapsed="false">
      <c r="A405" s="6" t="s">
        <v>131</v>
      </c>
      <c r="B405" s="6" t="s">
        <v>118</v>
      </c>
      <c r="C405" s="6" t="n">
        <v>30</v>
      </c>
      <c r="D405" s="6" t="s">
        <v>58</v>
      </c>
      <c r="E405" s="6" t="n">
        <v>51.7</v>
      </c>
      <c r="F405" s="6" t="n">
        <v>88.7</v>
      </c>
      <c r="G405" s="6" t="s">
        <v>127</v>
      </c>
    </row>
    <row r="406" customFormat="false" ht="15" hidden="false" customHeight="false" outlineLevel="0" collapsed="false">
      <c r="A406" s="6" t="s">
        <v>131</v>
      </c>
      <c r="B406" s="6" t="s">
        <v>118</v>
      </c>
      <c r="C406" s="6" t="n">
        <v>30</v>
      </c>
      <c r="D406" s="6" t="s">
        <v>59</v>
      </c>
      <c r="E406" s="6" t="n">
        <v>41.6</v>
      </c>
      <c r="F406" s="6" t="n">
        <v>88.5</v>
      </c>
      <c r="G406" s="6" t="s">
        <v>127</v>
      </c>
    </row>
    <row r="407" customFormat="false" ht="15" hidden="false" customHeight="false" outlineLevel="0" collapsed="false">
      <c r="A407" s="6" t="s">
        <v>131</v>
      </c>
      <c r="B407" s="6" t="s">
        <v>118</v>
      </c>
      <c r="C407" s="6" t="n">
        <v>30</v>
      </c>
      <c r="D407" s="6" t="s">
        <v>60</v>
      </c>
      <c r="E407" s="6" t="n">
        <v>35.9</v>
      </c>
      <c r="F407" s="6" t="n">
        <v>88.4</v>
      </c>
      <c r="G407" s="6" t="s">
        <v>127</v>
      </c>
    </row>
    <row r="408" customFormat="false" ht="15" hidden="false" customHeight="false" outlineLevel="0" collapsed="false">
      <c r="A408" s="6" t="s">
        <v>131</v>
      </c>
      <c r="B408" s="6" t="s">
        <v>118</v>
      </c>
      <c r="C408" s="6" t="n">
        <v>30</v>
      </c>
      <c r="D408" s="6" t="s">
        <v>61</v>
      </c>
      <c r="E408" s="6" t="n">
        <v>42.7</v>
      </c>
      <c r="F408" s="6" t="n">
        <v>87.1</v>
      </c>
      <c r="G408" s="6" t="s">
        <v>127</v>
      </c>
    </row>
    <row r="409" customFormat="false" ht="15" hidden="false" customHeight="false" outlineLevel="0" collapsed="false">
      <c r="A409" s="6" t="s">
        <v>131</v>
      </c>
      <c r="B409" s="6" t="s">
        <v>118</v>
      </c>
      <c r="C409" s="6" t="n">
        <v>30</v>
      </c>
      <c r="D409" s="6" t="s">
        <v>62</v>
      </c>
      <c r="E409" s="6" t="n">
        <v>35.6</v>
      </c>
      <c r="F409" s="6" t="n">
        <v>87.6</v>
      </c>
      <c r="G409" s="6" t="s">
        <v>127</v>
      </c>
    </row>
    <row r="410" customFormat="false" ht="15" hidden="false" customHeight="false" outlineLevel="0" collapsed="false">
      <c r="A410" s="6" t="s">
        <v>131</v>
      </c>
      <c r="B410" s="6" t="s">
        <v>118</v>
      </c>
      <c r="C410" s="6" t="n">
        <v>30</v>
      </c>
      <c r="D410" s="6" t="s">
        <v>63</v>
      </c>
      <c r="E410" s="6" t="n">
        <v>44.3</v>
      </c>
      <c r="F410" s="6" t="n">
        <v>87.2</v>
      </c>
      <c r="G410" s="6" t="s">
        <v>127</v>
      </c>
    </row>
    <row r="411" customFormat="false" ht="15" hidden="false" customHeight="false" outlineLevel="0" collapsed="false">
      <c r="A411" s="6" t="s">
        <v>131</v>
      </c>
      <c r="B411" s="6" t="s">
        <v>118</v>
      </c>
      <c r="C411" s="6" t="n">
        <v>30</v>
      </c>
      <c r="D411" s="6" t="s">
        <v>64</v>
      </c>
      <c r="E411" s="6" t="n">
        <v>37.5</v>
      </c>
      <c r="F411" s="6" t="n">
        <v>88.4</v>
      </c>
      <c r="G411" s="6" t="s">
        <v>127</v>
      </c>
    </row>
    <row r="412" customFormat="false" ht="15" hidden="false" customHeight="false" outlineLevel="0" collapsed="false">
      <c r="A412" s="6" t="s">
        <v>131</v>
      </c>
      <c r="B412" s="6" t="s">
        <v>118</v>
      </c>
      <c r="C412" s="6" t="n">
        <v>30</v>
      </c>
      <c r="D412" s="6" t="s">
        <v>65</v>
      </c>
      <c r="E412" s="6" t="n">
        <v>35.3</v>
      </c>
      <c r="F412" s="6" t="n">
        <v>88.1</v>
      </c>
      <c r="G412" s="6" t="s">
        <v>127</v>
      </c>
    </row>
    <row r="413" customFormat="false" ht="15" hidden="false" customHeight="false" outlineLevel="0" collapsed="false">
      <c r="A413" s="6" t="s">
        <v>131</v>
      </c>
      <c r="B413" s="6" t="s">
        <v>118</v>
      </c>
      <c r="C413" s="6" t="n">
        <v>30</v>
      </c>
      <c r="D413" s="6" t="s">
        <v>66</v>
      </c>
      <c r="E413" s="6" t="n">
        <v>34.8</v>
      </c>
      <c r="F413" s="6" t="n">
        <v>86.8</v>
      </c>
      <c r="G413" s="6" t="s">
        <v>127</v>
      </c>
    </row>
    <row r="414" customFormat="false" ht="15" hidden="false" customHeight="false" outlineLevel="0" collapsed="false">
      <c r="A414" s="6" t="s">
        <v>131</v>
      </c>
      <c r="B414" s="6" t="s">
        <v>118</v>
      </c>
      <c r="C414" s="6" t="n">
        <v>30</v>
      </c>
      <c r="D414" s="6" t="s">
        <v>67</v>
      </c>
      <c r="E414" s="6" t="n">
        <v>32.1</v>
      </c>
      <c r="F414" s="6" t="n">
        <v>86.3</v>
      </c>
      <c r="G414" s="6" t="s">
        <v>127</v>
      </c>
    </row>
    <row r="415" customFormat="false" ht="15" hidden="false" customHeight="false" outlineLevel="0" collapsed="false">
      <c r="A415" s="6" t="s">
        <v>131</v>
      </c>
      <c r="B415" s="6" t="s">
        <v>118</v>
      </c>
      <c r="C415" s="6" t="n">
        <v>30</v>
      </c>
      <c r="D415" s="6" t="s">
        <v>68</v>
      </c>
      <c r="E415" s="6" t="n">
        <v>62</v>
      </c>
      <c r="F415" s="6" t="n">
        <v>86.5</v>
      </c>
      <c r="G415" s="6" t="s">
        <v>127</v>
      </c>
    </row>
    <row r="416" customFormat="false" ht="15" hidden="false" customHeight="false" outlineLevel="0" collapsed="false">
      <c r="A416" s="6" t="s">
        <v>131</v>
      </c>
      <c r="B416" s="6" t="s">
        <v>118</v>
      </c>
      <c r="C416" s="6" t="n">
        <v>30</v>
      </c>
      <c r="D416" s="6" t="s">
        <v>69</v>
      </c>
      <c r="E416" s="6" t="n">
        <v>62</v>
      </c>
      <c r="F416" s="6" t="n">
        <v>85.3</v>
      </c>
      <c r="G416" s="6" t="s">
        <v>127</v>
      </c>
    </row>
    <row r="417" customFormat="false" ht="15" hidden="false" customHeight="false" outlineLevel="0" collapsed="false">
      <c r="A417" s="6" t="s">
        <v>131</v>
      </c>
      <c r="B417" s="6" t="s">
        <v>118</v>
      </c>
      <c r="C417" s="6" t="n">
        <v>30</v>
      </c>
      <c r="D417" s="6" t="s">
        <v>70</v>
      </c>
      <c r="E417" s="6" t="n">
        <v>62</v>
      </c>
      <c r="F417" s="6" t="n">
        <v>84.6</v>
      </c>
      <c r="G417" s="6" t="s">
        <v>127</v>
      </c>
    </row>
    <row r="418" customFormat="false" ht="15" hidden="false" customHeight="false" outlineLevel="0" collapsed="false">
      <c r="A418" s="6" t="s">
        <v>131</v>
      </c>
      <c r="B418" s="6" t="s">
        <v>118</v>
      </c>
      <c r="C418" s="6" t="n">
        <v>30</v>
      </c>
      <c r="D418" s="6" t="s">
        <v>71</v>
      </c>
      <c r="E418" s="6" t="n">
        <v>57.8</v>
      </c>
      <c r="F418" s="6" t="n">
        <v>84.5</v>
      </c>
      <c r="G418" s="6" t="s">
        <v>127</v>
      </c>
    </row>
    <row r="419" customFormat="false" ht="15" hidden="false" customHeight="false" outlineLevel="0" collapsed="false">
      <c r="A419" s="6" t="s">
        <v>131</v>
      </c>
      <c r="B419" s="6" t="s">
        <v>118</v>
      </c>
      <c r="C419" s="6" t="n">
        <v>30</v>
      </c>
      <c r="D419" s="6" t="s">
        <v>72</v>
      </c>
      <c r="E419" s="6" t="n">
        <v>40</v>
      </c>
      <c r="F419" s="6" t="n">
        <v>84.5</v>
      </c>
      <c r="G419" s="6" t="s">
        <v>127</v>
      </c>
    </row>
    <row r="420" customFormat="false" ht="15" hidden="false" customHeight="false" outlineLevel="0" collapsed="false">
      <c r="A420" s="6" t="s">
        <v>131</v>
      </c>
      <c r="B420" s="6" t="s">
        <v>118</v>
      </c>
      <c r="C420" s="6" t="n">
        <v>30</v>
      </c>
      <c r="D420" s="6" t="s">
        <v>73</v>
      </c>
      <c r="E420" s="6" t="n">
        <v>36.2</v>
      </c>
      <c r="F420" s="6" t="n">
        <v>83.7</v>
      </c>
      <c r="G420" s="6" t="s">
        <v>127</v>
      </c>
    </row>
    <row r="421" customFormat="false" ht="15" hidden="false" customHeight="false" outlineLevel="0" collapsed="false">
      <c r="A421" s="6" t="s">
        <v>131</v>
      </c>
      <c r="B421" s="6" t="s">
        <v>118</v>
      </c>
      <c r="C421" s="6" t="n">
        <v>30</v>
      </c>
      <c r="D421" s="6" t="s">
        <v>74</v>
      </c>
      <c r="E421" s="6" t="n">
        <v>51.2</v>
      </c>
      <c r="F421" s="6" t="n">
        <v>84.7</v>
      </c>
      <c r="G421" s="6" t="s">
        <v>127</v>
      </c>
    </row>
    <row r="422" customFormat="false" ht="15" hidden="false" customHeight="false" outlineLevel="0" collapsed="false">
      <c r="A422" s="6" t="s">
        <v>131</v>
      </c>
      <c r="B422" s="6" t="s">
        <v>118</v>
      </c>
      <c r="C422" s="6" t="n">
        <v>30</v>
      </c>
      <c r="D422" s="6" t="s">
        <v>75</v>
      </c>
      <c r="E422" s="6" t="n">
        <v>52.4</v>
      </c>
      <c r="F422" s="6" t="n">
        <v>85</v>
      </c>
      <c r="G422" s="6" t="s">
        <v>127</v>
      </c>
    </row>
    <row r="423" customFormat="false" ht="15" hidden="false" customHeight="false" outlineLevel="0" collapsed="false">
      <c r="A423" s="6" t="s">
        <v>131</v>
      </c>
      <c r="B423" s="6" t="s">
        <v>118</v>
      </c>
      <c r="C423" s="6" t="n">
        <v>30</v>
      </c>
      <c r="D423" s="6" t="s">
        <v>76</v>
      </c>
      <c r="E423" s="6" t="n">
        <v>62</v>
      </c>
      <c r="F423" s="6" t="n">
        <v>82.4</v>
      </c>
      <c r="G423" s="6" t="s">
        <v>127</v>
      </c>
    </row>
    <row r="424" customFormat="false" ht="15" hidden="false" customHeight="false" outlineLevel="0" collapsed="false">
      <c r="A424" s="6" t="s">
        <v>131</v>
      </c>
      <c r="B424" s="6" t="s">
        <v>118</v>
      </c>
      <c r="C424" s="6" t="n">
        <v>30</v>
      </c>
      <c r="D424" s="6" t="s">
        <v>77</v>
      </c>
      <c r="E424" s="6" t="n">
        <v>62</v>
      </c>
      <c r="F424" s="6" t="n">
        <v>83.7</v>
      </c>
      <c r="G424" s="6" t="s">
        <v>127</v>
      </c>
    </row>
    <row r="425" customFormat="false" ht="15" hidden="false" customHeight="false" outlineLevel="0" collapsed="false">
      <c r="A425" s="6" t="s">
        <v>131</v>
      </c>
      <c r="B425" s="6" t="s">
        <v>118</v>
      </c>
      <c r="C425" s="6" t="n">
        <v>30</v>
      </c>
      <c r="D425" s="6" t="s">
        <v>78</v>
      </c>
      <c r="E425" s="6" t="n">
        <v>60.1</v>
      </c>
      <c r="F425" s="6" t="n">
        <v>83.1</v>
      </c>
      <c r="G425" s="6" t="s">
        <v>127</v>
      </c>
    </row>
    <row r="426" customFormat="false" ht="15" hidden="false" customHeight="false" outlineLevel="0" collapsed="false">
      <c r="A426" s="6" t="s">
        <v>131</v>
      </c>
      <c r="B426" s="6" t="s">
        <v>118</v>
      </c>
      <c r="C426" s="6" t="n">
        <v>30</v>
      </c>
      <c r="D426" s="6" t="s">
        <v>79</v>
      </c>
      <c r="E426" s="6" t="n">
        <v>62</v>
      </c>
      <c r="F426" s="6" t="n">
        <v>83.4</v>
      </c>
      <c r="G426" s="6" t="s">
        <v>127</v>
      </c>
    </row>
    <row r="427" customFormat="false" ht="15" hidden="false" customHeight="false" outlineLevel="0" collapsed="false">
      <c r="A427" s="6" t="s">
        <v>131</v>
      </c>
      <c r="B427" s="6" t="s">
        <v>118</v>
      </c>
      <c r="C427" s="6" t="n">
        <v>30</v>
      </c>
      <c r="D427" s="6" t="s">
        <v>80</v>
      </c>
      <c r="E427" s="6" t="n">
        <v>51.5</v>
      </c>
      <c r="F427" s="6" t="n">
        <v>82.7</v>
      </c>
      <c r="G427" s="6" t="s">
        <v>127</v>
      </c>
    </row>
    <row r="428" customFormat="false" ht="15" hidden="false" customHeight="false" outlineLevel="0" collapsed="false">
      <c r="A428" s="6" t="s">
        <v>131</v>
      </c>
      <c r="B428" s="6" t="s">
        <v>118</v>
      </c>
      <c r="C428" s="6" t="n">
        <v>30</v>
      </c>
      <c r="D428" s="6" t="s">
        <v>81</v>
      </c>
      <c r="E428" s="6" t="n">
        <v>62</v>
      </c>
      <c r="F428" s="6" t="n">
        <v>81</v>
      </c>
      <c r="G428" s="6" t="s">
        <v>127</v>
      </c>
    </row>
    <row r="429" customFormat="false" ht="15" hidden="false" customHeight="false" outlineLevel="0" collapsed="false">
      <c r="A429" s="6" t="s">
        <v>131</v>
      </c>
      <c r="B429" s="6" t="s">
        <v>118</v>
      </c>
      <c r="C429" s="6" t="n">
        <v>30</v>
      </c>
      <c r="D429" s="6" t="s">
        <v>82</v>
      </c>
      <c r="E429" s="6" t="n">
        <v>53.3</v>
      </c>
      <c r="F429" s="6" t="n">
        <v>80.9</v>
      </c>
      <c r="G429" s="6" t="s">
        <v>127</v>
      </c>
    </row>
    <row r="430" customFormat="false" ht="15" hidden="false" customHeight="false" outlineLevel="0" collapsed="false">
      <c r="A430" s="6" t="s">
        <v>131</v>
      </c>
      <c r="B430" s="6" t="s">
        <v>118</v>
      </c>
      <c r="C430" s="6" t="n">
        <v>30</v>
      </c>
      <c r="D430" s="6" t="s">
        <v>83</v>
      </c>
      <c r="E430" s="6" t="n">
        <v>54.5</v>
      </c>
      <c r="F430" s="6" t="n">
        <v>81.9</v>
      </c>
      <c r="G430" s="6" t="s">
        <v>127</v>
      </c>
    </row>
    <row r="431" customFormat="false" ht="15" hidden="false" customHeight="false" outlineLevel="0" collapsed="false">
      <c r="A431" s="6" t="s">
        <v>131</v>
      </c>
      <c r="B431" s="6" t="s">
        <v>118</v>
      </c>
      <c r="C431" s="6" t="n">
        <v>30</v>
      </c>
      <c r="D431" s="6" t="s">
        <v>84</v>
      </c>
      <c r="E431" s="6" t="n">
        <v>38.1</v>
      </c>
      <c r="F431" s="6" t="n">
        <v>82.6</v>
      </c>
      <c r="G431" s="6" t="s">
        <v>127</v>
      </c>
    </row>
    <row r="432" customFormat="false" ht="15" hidden="false" customHeight="false" outlineLevel="0" collapsed="false">
      <c r="A432" s="6" t="s">
        <v>131</v>
      </c>
      <c r="B432" s="6" t="s">
        <v>118</v>
      </c>
      <c r="C432" s="6" t="n">
        <v>30</v>
      </c>
      <c r="D432" s="6" t="s">
        <v>85</v>
      </c>
      <c r="E432" s="6" t="n">
        <v>34</v>
      </c>
      <c r="F432" s="6" t="n">
        <v>79</v>
      </c>
      <c r="G432" s="6" t="s">
        <v>127</v>
      </c>
    </row>
    <row r="433" customFormat="false" ht="15" hidden="false" customHeight="false" outlineLevel="0" collapsed="false">
      <c r="A433" s="6" t="s">
        <v>131</v>
      </c>
      <c r="B433" s="6" t="s">
        <v>118</v>
      </c>
      <c r="C433" s="6" t="n">
        <v>30</v>
      </c>
      <c r="D433" s="6" t="s">
        <v>86</v>
      </c>
      <c r="E433" s="6" t="n">
        <v>52.4</v>
      </c>
      <c r="F433" s="6" t="n">
        <v>81.3</v>
      </c>
      <c r="G433" s="6" t="s">
        <v>127</v>
      </c>
    </row>
    <row r="434" customFormat="false" ht="15" hidden="false" customHeight="false" outlineLevel="0" collapsed="false">
      <c r="A434" s="6" t="s">
        <v>131</v>
      </c>
      <c r="B434" s="6" t="s">
        <v>118</v>
      </c>
      <c r="C434" s="6" t="n">
        <v>30</v>
      </c>
      <c r="D434" s="6" t="s">
        <v>87</v>
      </c>
      <c r="E434" s="6" t="n">
        <v>43.8</v>
      </c>
      <c r="F434" s="6" t="n">
        <v>81.8</v>
      </c>
      <c r="G434" s="6" t="s">
        <v>127</v>
      </c>
    </row>
    <row r="435" customFormat="false" ht="15" hidden="false" customHeight="false" outlineLevel="0" collapsed="false">
      <c r="A435" s="6" t="s">
        <v>131</v>
      </c>
      <c r="B435" s="6" t="s">
        <v>118</v>
      </c>
      <c r="C435" s="6" t="n">
        <v>30</v>
      </c>
      <c r="D435" s="6" t="s">
        <v>88</v>
      </c>
      <c r="E435" s="6" t="n">
        <v>47.7</v>
      </c>
      <c r="F435" s="6" t="n">
        <v>80.2</v>
      </c>
      <c r="G435" s="6" t="s">
        <v>127</v>
      </c>
    </row>
    <row r="436" customFormat="false" ht="15" hidden="false" customHeight="false" outlineLevel="0" collapsed="false">
      <c r="A436" s="6" t="s">
        <v>131</v>
      </c>
      <c r="B436" s="6" t="s">
        <v>118</v>
      </c>
      <c r="C436" s="6" t="n">
        <v>30</v>
      </c>
      <c r="D436" s="6" t="s">
        <v>89</v>
      </c>
      <c r="E436" s="6" t="n">
        <v>28.1</v>
      </c>
      <c r="F436" s="6" t="n">
        <v>80.6</v>
      </c>
      <c r="G436" s="6" t="s">
        <v>127</v>
      </c>
    </row>
    <row r="437" customFormat="false" ht="15" hidden="false" customHeight="false" outlineLevel="0" collapsed="false">
      <c r="A437" s="6" t="s">
        <v>131</v>
      </c>
      <c r="B437" s="6" t="s">
        <v>118</v>
      </c>
      <c r="C437" s="6" t="n">
        <v>30</v>
      </c>
      <c r="D437" s="6" t="s">
        <v>90</v>
      </c>
      <c r="E437" s="6" t="n">
        <v>23.7</v>
      </c>
      <c r="F437" s="6" t="n">
        <v>79</v>
      </c>
      <c r="G437" s="6" t="s">
        <v>127</v>
      </c>
    </row>
    <row r="438" customFormat="false" ht="15" hidden="false" customHeight="false" outlineLevel="0" collapsed="false">
      <c r="A438" s="6" t="s">
        <v>131</v>
      </c>
      <c r="B438" s="6" t="s">
        <v>118</v>
      </c>
      <c r="C438" s="6" t="n">
        <v>30</v>
      </c>
      <c r="D438" s="6" t="s">
        <v>91</v>
      </c>
      <c r="E438" s="6" t="n">
        <v>22.8</v>
      </c>
      <c r="F438" s="6" t="n">
        <v>79.3</v>
      </c>
      <c r="G438" s="6" t="s">
        <v>127</v>
      </c>
    </row>
    <row r="439" customFormat="false" ht="15" hidden="false" customHeight="false" outlineLevel="0" collapsed="false">
      <c r="A439" s="6" t="s">
        <v>131</v>
      </c>
      <c r="B439" s="6" t="s">
        <v>118</v>
      </c>
      <c r="C439" s="6" t="n">
        <v>30</v>
      </c>
      <c r="D439" s="6" t="s">
        <v>92</v>
      </c>
      <c r="E439" s="6" t="n">
        <v>24.4</v>
      </c>
      <c r="F439" s="6" t="n">
        <v>77.5</v>
      </c>
      <c r="G439" s="6" t="s">
        <v>127</v>
      </c>
    </row>
    <row r="440" customFormat="false" ht="15" hidden="false" customHeight="false" outlineLevel="0" collapsed="false">
      <c r="A440" s="6" t="s">
        <v>131</v>
      </c>
      <c r="B440" s="6" t="s">
        <v>118</v>
      </c>
      <c r="C440" s="6" t="n">
        <v>30</v>
      </c>
      <c r="D440" s="6" t="s">
        <v>93</v>
      </c>
      <c r="E440" s="6" t="n">
        <v>26.3</v>
      </c>
      <c r="F440" s="6" t="n">
        <v>76.5</v>
      </c>
      <c r="G440" s="6" t="s">
        <v>127</v>
      </c>
    </row>
    <row r="441" customFormat="false" ht="15" hidden="false" customHeight="false" outlineLevel="0" collapsed="false">
      <c r="A441" s="6" t="s">
        <v>131</v>
      </c>
      <c r="B441" s="6" t="s">
        <v>118</v>
      </c>
      <c r="C441" s="6" t="n">
        <v>30</v>
      </c>
      <c r="D441" s="6" t="s">
        <v>94</v>
      </c>
      <c r="E441" s="6" t="n">
        <v>34.9</v>
      </c>
      <c r="F441" s="6" t="n">
        <v>79.5</v>
      </c>
      <c r="G441" s="6" t="s">
        <v>127</v>
      </c>
    </row>
    <row r="442" customFormat="false" ht="15" hidden="false" customHeight="false" outlineLevel="0" collapsed="false">
      <c r="A442" s="6" t="s">
        <v>131</v>
      </c>
      <c r="B442" s="6" t="s">
        <v>118</v>
      </c>
      <c r="C442" s="6" t="n">
        <v>30</v>
      </c>
      <c r="D442" s="6" t="s">
        <v>95</v>
      </c>
      <c r="E442" s="6" t="n">
        <v>48.1</v>
      </c>
      <c r="F442" s="6" t="n">
        <v>77.2</v>
      </c>
      <c r="G442" s="6" t="s">
        <v>127</v>
      </c>
    </row>
    <row r="443" customFormat="false" ht="15" hidden="false" customHeight="false" outlineLevel="0" collapsed="false">
      <c r="A443" s="6" t="s">
        <v>131</v>
      </c>
      <c r="B443" s="6" t="s">
        <v>118</v>
      </c>
      <c r="C443" s="6" t="n">
        <v>30</v>
      </c>
      <c r="D443" s="6" t="s">
        <v>96</v>
      </c>
      <c r="E443" s="6" t="n">
        <v>56.4</v>
      </c>
      <c r="F443" s="6" t="n">
        <v>77.5</v>
      </c>
      <c r="G443" s="6" t="s">
        <v>127</v>
      </c>
    </row>
    <row r="444" customFormat="false" ht="15" hidden="false" customHeight="false" outlineLevel="0" collapsed="false">
      <c r="A444" s="6" t="s">
        <v>131</v>
      </c>
      <c r="B444" s="6" t="s">
        <v>118</v>
      </c>
      <c r="C444" s="6" t="n">
        <v>30</v>
      </c>
      <c r="D444" s="6" t="s">
        <v>97</v>
      </c>
      <c r="E444" s="6" t="n">
        <v>54.7</v>
      </c>
      <c r="F444" s="6" t="n">
        <v>76.2</v>
      </c>
      <c r="G444" s="6" t="s">
        <v>127</v>
      </c>
    </row>
    <row r="445" customFormat="false" ht="15" hidden="false" customHeight="false" outlineLevel="0" collapsed="false">
      <c r="A445" s="6" t="s">
        <v>131</v>
      </c>
      <c r="B445" s="6" t="s">
        <v>118</v>
      </c>
      <c r="C445" s="6" t="n">
        <v>30</v>
      </c>
      <c r="D445" s="6" t="s">
        <v>98</v>
      </c>
      <c r="E445" s="6" t="n">
        <v>44.4</v>
      </c>
      <c r="F445" s="6" t="n">
        <v>75.9</v>
      </c>
      <c r="G445" s="6" t="s">
        <v>127</v>
      </c>
    </row>
    <row r="446" customFormat="false" ht="15" hidden="false" customHeight="false" outlineLevel="0" collapsed="false">
      <c r="A446" s="6" t="s">
        <v>131</v>
      </c>
      <c r="B446" s="6" t="s">
        <v>118</v>
      </c>
      <c r="C446" s="6" t="n">
        <v>30</v>
      </c>
      <c r="D446" s="6" t="s">
        <v>99</v>
      </c>
      <c r="E446" s="6" t="n">
        <v>40</v>
      </c>
      <c r="F446" s="6" t="n">
        <v>76.8</v>
      </c>
      <c r="G446" s="6" t="s">
        <v>127</v>
      </c>
    </row>
    <row r="447" customFormat="false" ht="15" hidden="false" customHeight="false" outlineLevel="0" collapsed="false">
      <c r="A447" s="6" t="s">
        <v>131</v>
      </c>
      <c r="B447" s="6" t="s">
        <v>118</v>
      </c>
      <c r="C447" s="6" t="n">
        <v>30</v>
      </c>
      <c r="D447" s="6" t="s">
        <v>100</v>
      </c>
      <c r="E447" s="6" t="n">
        <v>38.7</v>
      </c>
      <c r="F447" s="6" t="n">
        <v>76</v>
      </c>
      <c r="G447" s="6" t="s">
        <v>127</v>
      </c>
    </row>
    <row r="448" customFormat="false" ht="15" hidden="false" customHeight="false" outlineLevel="0" collapsed="false">
      <c r="A448" s="6" t="s">
        <v>131</v>
      </c>
      <c r="B448" s="6" t="s">
        <v>118</v>
      </c>
      <c r="C448" s="6" t="n">
        <v>30</v>
      </c>
      <c r="D448" s="6" t="s">
        <v>101</v>
      </c>
      <c r="E448" s="6" t="n">
        <v>34.8</v>
      </c>
      <c r="F448" s="6" t="n">
        <v>76.8</v>
      </c>
      <c r="G448" s="6" t="s">
        <v>127</v>
      </c>
    </row>
    <row r="449" customFormat="false" ht="15" hidden="false" customHeight="false" outlineLevel="0" collapsed="false">
      <c r="A449" s="6" t="s">
        <v>131</v>
      </c>
      <c r="B449" s="6" t="s">
        <v>118</v>
      </c>
      <c r="C449" s="6" t="n">
        <v>30</v>
      </c>
      <c r="D449" s="6" t="s">
        <v>102</v>
      </c>
      <c r="E449" s="6" t="n">
        <v>32.5</v>
      </c>
      <c r="F449" s="6" t="n">
        <v>76.5</v>
      </c>
      <c r="G449" s="6" t="s">
        <v>127</v>
      </c>
    </row>
    <row r="450" customFormat="false" ht="15" hidden="false" customHeight="false" outlineLevel="0" collapsed="false">
      <c r="A450" s="6" t="s">
        <v>131</v>
      </c>
      <c r="B450" s="6" t="s">
        <v>118</v>
      </c>
      <c r="C450" s="6" t="n">
        <v>30</v>
      </c>
      <c r="D450" s="6" t="s">
        <v>103</v>
      </c>
      <c r="E450" s="6" t="n">
        <v>26.9</v>
      </c>
      <c r="F450" s="6" t="n">
        <v>76.1</v>
      </c>
      <c r="G450" s="6" t="s">
        <v>127</v>
      </c>
    </row>
    <row r="451" customFormat="false" ht="15" hidden="false" customHeight="false" outlineLevel="0" collapsed="false">
      <c r="A451" s="6" t="s">
        <v>131</v>
      </c>
      <c r="B451" s="6" t="s">
        <v>118</v>
      </c>
      <c r="C451" s="6" t="n">
        <v>30</v>
      </c>
      <c r="D451" s="6" t="s">
        <v>104</v>
      </c>
      <c r="E451" s="6" t="n">
        <v>26.3</v>
      </c>
      <c r="F451" s="6" t="n">
        <v>75.7</v>
      </c>
      <c r="G451" s="6" t="s">
        <v>127</v>
      </c>
    </row>
    <row r="452" customFormat="false" ht="15" hidden="false" customHeight="false" outlineLevel="0" collapsed="false">
      <c r="A452" s="6" t="s">
        <v>131</v>
      </c>
      <c r="B452" s="6" t="s">
        <v>118</v>
      </c>
      <c r="C452" s="6" t="n">
        <v>30</v>
      </c>
      <c r="D452" s="6" t="s">
        <v>105</v>
      </c>
      <c r="E452" s="6" t="n">
        <v>28.8</v>
      </c>
      <c r="F452" s="6" t="n">
        <v>76.8</v>
      </c>
      <c r="G452" s="6" t="s">
        <v>127</v>
      </c>
    </row>
    <row r="453" customFormat="false" ht="15" hidden="false" customHeight="false" outlineLevel="0" collapsed="false">
      <c r="A453" s="6" t="s">
        <v>131</v>
      </c>
      <c r="B453" s="6" t="s">
        <v>118</v>
      </c>
      <c r="C453" s="6" t="n">
        <v>30</v>
      </c>
      <c r="D453" s="6" t="s">
        <v>106</v>
      </c>
      <c r="E453" s="6" t="n">
        <v>23.3</v>
      </c>
      <c r="F453" s="6" t="n">
        <v>73.8</v>
      </c>
      <c r="G453" s="6" t="s">
        <v>127</v>
      </c>
    </row>
    <row r="454" customFormat="false" ht="15" hidden="false" customHeight="false" outlineLevel="0" collapsed="false">
      <c r="A454" s="6" t="s">
        <v>131</v>
      </c>
      <c r="B454" s="6" t="s">
        <v>118</v>
      </c>
      <c r="C454" s="6" t="n">
        <v>30</v>
      </c>
      <c r="D454" s="6" t="s">
        <v>107</v>
      </c>
      <c r="E454" s="6" t="n">
        <v>37.2</v>
      </c>
      <c r="F454" s="6" t="n">
        <v>74.5</v>
      </c>
      <c r="G454" s="6" t="s">
        <v>127</v>
      </c>
    </row>
    <row r="455" customFormat="false" ht="15" hidden="false" customHeight="false" outlineLevel="0" collapsed="false">
      <c r="A455" s="6" t="s">
        <v>131</v>
      </c>
      <c r="B455" s="6" t="s">
        <v>118</v>
      </c>
      <c r="C455" s="6" t="n">
        <v>30</v>
      </c>
      <c r="D455" s="6" t="s">
        <v>108</v>
      </c>
      <c r="E455" s="6" t="n">
        <v>48.5</v>
      </c>
      <c r="F455" s="6" t="n">
        <v>75.4</v>
      </c>
      <c r="G455" s="6" t="s">
        <v>127</v>
      </c>
    </row>
    <row r="456" customFormat="false" ht="15" hidden="false" customHeight="false" outlineLevel="0" collapsed="false">
      <c r="A456" s="6" t="s">
        <v>131</v>
      </c>
      <c r="B456" s="6" t="s">
        <v>118</v>
      </c>
      <c r="C456" s="6" t="n">
        <v>30</v>
      </c>
      <c r="D456" s="6" t="s">
        <v>109</v>
      </c>
      <c r="E456" s="6" t="n">
        <v>46</v>
      </c>
      <c r="F456" s="6" t="n">
        <v>75.2</v>
      </c>
      <c r="G456" s="6" t="s">
        <v>127</v>
      </c>
    </row>
    <row r="457" customFormat="false" ht="15" hidden="false" customHeight="false" outlineLevel="0" collapsed="false">
      <c r="A457" s="6" t="s">
        <v>131</v>
      </c>
      <c r="B457" s="6" t="s">
        <v>118</v>
      </c>
      <c r="C457" s="6" t="n">
        <v>30</v>
      </c>
      <c r="D457" s="6" t="s">
        <v>110</v>
      </c>
      <c r="E457" s="6" t="n">
        <v>36.9</v>
      </c>
      <c r="F457" s="6" t="n">
        <v>72.2</v>
      </c>
      <c r="G457" s="6" t="s">
        <v>127</v>
      </c>
    </row>
    <row r="458" customFormat="false" ht="15" hidden="false" customHeight="false" outlineLevel="0" collapsed="false">
      <c r="A458" s="6" t="s">
        <v>131</v>
      </c>
      <c r="B458" s="6" t="s">
        <v>118</v>
      </c>
      <c r="C458" s="6" t="n">
        <v>30</v>
      </c>
      <c r="D458" s="6" t="s">
        <v>111</v>
      </c>
      <c r="E458" s="6" t="n">
        <v>49.6</v>
      </c>
      <c r="F458" s="6" t="n">
        <v>73.1</v>
      </c>
      <c r="G458" s="6" t="s">
        <v>127</v>
      </c>
    </row>
    <row r="459" customFormat="false" ht="15" hidden="false" customHeight="false" outlineLevel="0" collapsed="false">
      <c r="A459" s="6" t="s">
        <v>131</v>
      </c>
      <c r="B459" s="6" t="s">
        <v>118</v>
      </c>
      <c r="C459" s="6" t="n">
        <v>30</v>
      </c>
      <c r="D459" s="6" t="s">
        <v>112</v>
      </c>
      <c r="E459" s="6" t="n">
        <v>51.7</v>
      </c>
      <c r="F459" s="6" t="n">
        <v>74.4</v>
      </c>
      <c r="G459" s="6" t="s">
        <v>127</v>
      </c>
    </row>
    <row r="460" customFormat="false" ht="15" hidden="false" customHeight="false" outlineLevel="0" collapsed="false">
      <c r="A460" s="6" t="s">
        <v>131</v>
      </c>
      <c r="B460" s="6" t="s">
        <v>118</v>
      </c>
      <c r="C460" s="6" t="n">
        <v>30</v>
      </c>
      <c r="D460" s="6" t="s">
        <v>113</v>
      </c>
      <c r="E460" s="6" t="n">
        <v>50.4</v>
      </c>
      <c r="F460" s="6" t="n">
        <v>73.3</v>
      </c>
      <c r="G460" s="6" t="s">
        <v>127</v>
      </c>
    </row>
    <row r="461" customFormat="false" ht="15" hidden="false" customHeight="false" outlineLevel="0" collapsed="false">
      <c r="A461" s="6" t="s">
        <v>131</v>
      </c>
      <c r="B461" s="6" t="s">
        <v>118</v>
      </c>
      <c r="C461" s="6" t="n">
        <v>30</v>
      </c>
      <c r="D461" s="6" t="s">
        <v>114</v>
      </c>
      <c r="E461" s="6" t="n">
        <v>31.8</v>
      </c>
      <c r="F461" s="6" t="n">
        <v>72.7</v>
      </c>
      <c r="G461" s="6" t="s">
        <v>127</v>
      </c>
    </row>
    <row r="462" customFormat="false" ht="15" hidden="false" customHeight="false" outlineLevel="0" collapsed="false">
      <c r="A462" s="6" t="s">
        <v>132</v>
      </c>
      <c r="B462" s="6" t="s">
        <v>118</v>
      </c>
      <c r="C462" s="6" t="n">
        <v>60</v>
      </c>
      <c r="D462" s="6" t="s">
        <v>23</v>
      </c>
      <c r="E462" s="6" t="n">
        <v>31.6</v>
      </c>
      <c r="F462" s="6" t="n">
        <v>99.5</v>
      </c>
      <c r="G462" s="6" t="s">
        <v>127</v>
      </c>
    </row>
    <row r="463" customFormat="false" ht="15" hidden="false" customHeight="false" outlineLevel="0" collapsed="false">
      <c r="A463" s="6" t="s">
        <v>132</v>
      </c>
      <c r="B463" s="6" t="s">
        <v>118</v>
      </c>
      <c r="C463" s="6" t="n">
        <v>60</v>
      </c>
      <c r="D463" s="6" t="s">
        <v>24</v>
      </c>
      <c r="E463" s="6" t="n">
        <v>32.6</v>
      </c>
      <c r="F463" s="6" t="n">
        <v>99.8</v>
      </c>
      <c r="G463" s="6" t="s">
        <v>127</v>
      </c>
    </row>
    <row r="464" customFormat="false" ht="15" hidden="false" customHeight="false" outlineLevel="0" collapsed="false">
      <c r="A464" s="6" t="s">
        <v>132</v>
      </c>
      <c r="B464" s="6" t="s">
        <v>118</v>
      </c>
      <c r="C464" s="6" t="n">
        <v>60</v>
      </c>
      <c r="D464" s="6" t="s">
        <v>25</v>
      </c>
      <c r="E464" s="6" t="n">
        <v>35.7</v>
      </c>
      <c r="F464" s="6" t="n">
        <v>97</v>
      </c>
      <c r="G464" s="6" t="s">
        <v>127</v>
      </c>
    </row>
    <row r="465" customFormat="false" ht="15" hidden="false" customHeight="false" outlineLevel="0" collapsed="false">
      <c r="A465" s="6" t="s">
        <v>132</v>
      </c>
      <c r="B465" s="6" t="s">
        <v>118</v>
      </c>
      <c r="C465" s="6" t="n">
        <v>60</v>
      </c>
      <c r="D465" s="6" t="s">
        <v>26</v>
      </c>
      <c r="E465" s="6" t="n">
        <v>37.9</v>
      </c>
      <c r="F465" s="6" t="n">
        <v>99.2</v>
      </c>
      <c r="G465" s="6" t="s">
        <v>127</v>
      </c>
    </row>
    <row r="466" customFormat="false" ht="15" hidden="false" customHeight="false" outlineLevel="0" collapsed="false">
      <c r="A466" s="6" t="s">
        <v>132</v>
      </c>
      <c r="B466" s="6" t="s">
        <v>118</v>
      </c>
      <c r="C466" s="6" t="n">
        <v>60</v>
      </c>
      <c r="D466" s="6" t="s">
        <v>27</v>
      </c>
      <c r="E466" s="6" t="n">
        <v>37</v>
      </c>
      <c r="F466" s="6" t="n">
        <v>100</v>
      </c>
      <c r="G466" s="6" t="s">
        <v>127</v>
      </c>
    </row>
    <row r="467" customFormat="false" ht="15" hidden="false" customHeight="false" outlineLevel="0" collapsed="false">
      <c r="A467" s="6" t="s">
        <v>132</v>
      </c>
      <c r="B467" s="6" t="s">
        <v>118</v>
      </c>
      <c r="C467" s="6" t="n">
        <v>60</v>
      </c>
      <c r="D467" s="6" t="s">
        <v>28</v>
      </c>
      <c r="E467" s="6" t="n">
        <v>43.7</v>
      </c>
      <c r="F467" s="6" t="n">
        <v>97.8</v>
      </c>
      <c r="G467" s="6" t="s">
        <v>127</v>
      </c>
    </row>
    <row r="468" customFormat="false" ht="15" hidden="false" customHeight="false" outlineLevel="0" collapsed="false">
      <c r="A468" s="6" t="s">
        <v>132</v>
      </c>
      <c r="B468" s="6" t="s">
        <v>118</v>
      </c>
      <c r="C468" s="6" t="n">
        <v>60</v>
      </c>
      <c r="D468" s="6" t="s">
        <v>29</v>
      </c>
      <c r="E468" s="6" t="n">
        <v>35.8</v>
      </c>
      <c r="F468" s="6" t="n">
        <v>98.2</v>
      </c>
      <c r="G468" s="6" t="s">
        <v>127</v>
      </c>
    </row>
    <row r="469" customFormat="false" ht="15" hidden="false" customHeight="false" outlineLevel="0" collapsed="false">
      <c r="A469" s="6" t="s">
        <v>132</v>
      </c>
      <c r="B469" s="6" t="s">
        <v>118</v>
      </c>
      <c r="C469" s="6" t="n">
        <v>60</v>
      </c>
      <c r="D469" s="6" t="s">
        <v>30</v>
      </c>
      <c r="E469" s="6" t="n">
        <v>42.2</v>
      </c>
      <c r="F469" s="6" t="n">
        <v>98.6</v>
      </c>
      <c r="G469" s="6" t="s">
        <v>127</v>
      </c>
    </row>
    <row r="470" customFormat="false" ht="15" hidden="false" customHeight="false" outlineLevel="0" collapsed="false">
      <c r="A470" s="6" t="s">
        <v>132</v>
      </c>
      <c r="B470" s="6" t="s">
        <v>118</v>
      </c>
      <c r="C470" s="6" t="n">
        <v>60</v>
      </c>
      <c r="D470" s="6" t="s">
        <v>31</v>
      </c>
      <c r="E470" s="6" t="n">
        <v>37.4</v>
      </c>
      <c r="F470" s="6" t="n">
        <v>97.1</v>
      </c>
      <c r="G470" s="6" t="s">
        <v>127</v>
      </c>
    </row>
    <row r="471" customFormat="false" ht="15" hidden="false" customHeight="false" outlineLevel="0" collapsed="false">
      <c r="A471" s="6" t="s">
        <v>132</v>
      </c>
      <c r="B471" s="6" t="s">
        <v>118</v>
      </c>
      <c r="C471" s="6" t="n">
        <v>60</v>
      </c>
      <c r="D471" s="6" t="s">
        <v>32</v>
      </c>
      <c r="E471" s="6" t="n">
        <v>31.8</v>
      </c>
      <c r="F471" s="6" t="n">
        <v>96.3</v>
      </c>
      <c r="G471" s="6" t="s">
        <v>127</v>
      </c>
    </row>
    <row r="472" customFormat="false" ht="15" hidden="false" customHeight="false" outlineLevel="0" collapsed="false">
      <c r="A472" s="6" t="s">
        <v>132</v>
      </c>
      <c r="B472" s="6" t="s">
        <v>118</v>
      </c>
      <c r="C472" s="6" t="n">
        <v>60</v>
      </c>
      <c r="D472" s="6" t="s">
        <v>33</v>
      </c>
      <c r="E472" s="6" t="n">
        <v>33.2</v>
      </c>
      <c r="F472" s="6" t="n">
        <v>94.3</v>
      </c>
      <c r="G472" s="6" t="s">
        <v>127</v>
      </c>
    </row>
    <row r="473" customFormat="false" ht="15" hidden="false" customHeight="false" outlineLevel="0" collapsed="false">
      <c r="A473" s="6" t="s">
        <v>132</v>
      </c>
      <c r="B473" s="6" t="s">
        <v>118</v>
      </c>
      <c r="C473" s="6" t="n">
        <v>60</v>
      </c>
      <c r="D473" s="6" t="s">
        <v>34</v>
      </c>
      <c r="E473" s="6" t="n">
        <v>41.8</v>
      </c>
      <c r="F473" s="6" t="n">
        <v>96.9</v>
      </c>
      <c r="G473" s="6" t="s">
        <v>127</v>
      </c>
    </row>
    <row r="474" customFormat="false" ht="15" hidden="false" customHeight="false" outlineLevel="0" collapsed="false">
      <c r="A474" s="6" t="s">
        <v>132</v>
      </c>
      <c r="B474" s="6" t="s">
        <v>118</v>
      </c>
      <c r="C474" s="6" t="n">
        <v>60</v>
      </c>
      <c r="D474" s="6" t="s">
        <v>35</v>
      </c>
      <c r="E474" s="6" t="n">
        <v>43.3</v>
      </c>
      <c r="F474" s="6" t="n">
        <v>95.8</v>
      </c>
      <c r="G474" s="6" t="s">
        <v>127</v>
      </c>
    </row>
    <row r="475" customFormat="false" ht="15" hidden="false" customHeight="false" outlineLevel="0" collapsed="false">
      <c r="A475" s="6" t="s">
        <v>132</v>
      </c>
      <c r="B475" s="6" t="s">
        <v>118</v>
      </c>
      <c r="C475" s="6" t="n">
        <v>60</v>
      </c>
      <c r="D475" s="6" t="s">
        <v>36</v>
      </c>
      <c r="E475" s="6" t="n">
        <v>58.6</v>
      </c>
      <c r="F475" s="6" t="n">
        <v>94.5</v>
      </c>
      <c r="G475" s="6" t="s">
        <v>127</v>
      </c>
    </row>
    <row r="476" customFormat="false" ht="15" hidden="false" customHeight="false" outlineLevel="0" collapsed="false">
      <c r="A476" s="6" t="s">
        <v>132</v>
      </c>
      <c r="B476" s="6" t="s">
        <v>118</v>
      </c>
      <c r="C476" s="6" t="n">
        <v>60</v>
      </c>
      <c r="D476" s="6" t="s">
        <v>37</v>
      </c>
      <c r="E476" s="6" t="n">
        <v>59.7</v>
      </c>
      <c r="F476" s="6" t="n">
        <v>95.3</v>
      </c>
      <c r="G476" s="6" t="s">
        <v>127</v>
      </c>
    </row>
    <row r="477" customFormat="false" ht="15" hidden="false" customHeight="false" outlineLevel="0" collapsed="false">
      <c r="A477" s="6" t="s">
        <v>132</v>
      </c>
      <c r="B477" s="6" t="s">
        <v>118</v>
      </c>
      <c r="C477" s="6" t="n">
        <v>60</v>
      </c>
      <c r="D477" s="6" t="s">
        <v>38</v>
      </c>
      <c r="E477" s="6" t="n">
        <v>59.6</v>
      </c>
      <c r="F477" s="6" t="n">
        <v>94.3</v>
      </c>
      <c r="G477" s="6" t="s">
        <v>127</v>
      </c>
    </row>
    <row r="478" customFormat="false" ht="15" hidden="false" customHeight="false" outlineLevel="0" collapsed="false">
      <c r="A478" s="6" t="s">
        <v>132</v>
      </c>
      <c r="B478" s="6" t="s">
        <v>118</v>
      </c>
      <c r="C478" s="6" t="n">
        <v>60</v>
      </c>
      <c r="D478" s="6" t="s">
        <v>39</v>
      </c>
      <c r="E478" s="6" t="n">
        <v>39.3</v>
      </c>
      <c r="F478" s="6" t="n">
        <v>94</v>
      </c>
      <c r="G478" s="6" t="s">
        <v>127</v>
      </c>
    </row>
    <row r="479" customFormat="false" ht="15" hidden="false" customHeight="false" outlineLevel="0" collapsed="false">
      <c r="A479" s="6" t="s">
        <v>132</v>
      </c>
      <c r="B479" s="6" t="s">
        <v>118</v>
      </c>
      <c r="C479" s="6" t="n">
        <v>60</v>
      </c>
      <c r="D479" s="6" t="s">
        <v>40</v>
      </c>
      <c r="E479" s="6" t="n">
        <v>30.9</v>
      </c>
      <c r="F479" s="6" t="n">
        <v>94.8</v>
      </c>
      <c r="G479" s="6" t="s">
        <v>127</v>
      </c>
    </row>
    <row r="480" customFormat="false" ht="15" hidden="false" customHeight="false" outlineLevel="0" collapsed="false">
      <c r="A480" s="6" t="s">
        <v>132</v>
      </c>
      <c r="B480" s="6" t="s">
        <v>118</v>
      </c>
      <c r="C480" s="6" t="n">
        <v>60</v>
      </c>
      <c r="D480" s="6" t="s">
        <v>41</v>
      </c>
      <c r="E480" s="6" t="n">
        <v>30.1</v>
      </c>
      <c r="F480" s="6" t="n">
        <v>92.5</v>
      </c>
      <c r="G480" s="6" t="s">
        <v>127</v>
      </c>
    </row>
    <row r="481" customFormat="false" ht="15" hidden="false" customHeight="false" outlineLevel="0" collapsed="false">
      <c r="A481" s="6" t="s">
        <v>132</v>
      </c>
      <c r="B481" s="6" t="s">
        <v>118</v>
      </c>
      <c r="C481" s="6" t="n">
        <v>60</v>
      </c>
      <c r="D481" s="6" t="s">
        <v>42</v>
      </c>
      <c r="E481" s="6" t="n">
        <v>62</v>
      </c>
      <c r="F481" s="6" t="n">
        <v>94.6</v>
      </c>
      <c r="G481" s="6" t="s">
        <v>127</v>
      </c>
    </row>
    <row r="482" customFormat="false" ht="15" hidden="false" customHeight="false" outlineLevel="0" collapsed="false">
      <c r="A482" s="6" t="s">
        <v>132</v>
      </c>
      <c r="B482" s="6" t="s">
        <v>118</v>
      </c>
      <c r="C482" s="6" t="n">
        <v>60</v>
      </c>
      <c r="D482" s="6" t="s">
        <v>43</v>
      </c>
      <c r="E482" s="6" t="n">
        <v>62</v>
      </c>
      <c r="F482" s="6" t="n">
        <v>91.8</v>
      </c>
      <c r="G482" s="6" t="s">
        <v>127</v>
      </c>
    </row>
    <row r="483" customFormat="false" ht="15" hidden="false" customHeight="false" outlineLevel="0" collapsed="false">
      <c r="A483" s="6" t="s">
        <v>132</v>
      </c>
      <c r="B483" s="6" t="s">
        <v>118</v>
      </c>
      <c r="C483" s="6" t="n">
        <v>60</v>
      </c>
      <c r="D483" s="6" t="s">
        <v>44</v>
      </c>
      <c r="E483" s="6" t="n">
        <v>62</v>
      </c>
      <c r="F483" s="6" t="n">
        <v>92.2</v>
      </c>
      <c r="G483" s="6" t="s">
        <v>127</v>
      </c>
    </row>
    <row r="484" customFormat="false" ht="15" hidden="false" customHeight="false" outlineLevel="0" collapsed="false">
      <c r="A484" s="6" t="s">
        <v>132</v>
      </c>
      <c r="B484" s="6" t="s">
        <v>118</v>
      </c>
      <c r="C484" s="6" t="n">
        <v>60</v>
      </c>
      <c r="D484" s="6" t="s">
        <v>45</v>
      </c>
      <c r="E484" s="6" t="n">
        <v>35.1</v>
      </c>
      <c r="F484" s="6" t="n">
        <v>94.4</v>
      </c>
      <c r="G484" s="6" t="s">
        <v>127</v>
      </c>
    </row>
    <row r="485" customFormat="false" ht="15" hidden="false" customHeight="false" outlineLevel="0" collapsed="false">
      <c r="A485" s="6" t="s">
        <v>132</v>
      </c>
      <c r="B485" s="6" t="s">
        <v>118</v>
      </c>
      <c r="C485" s="6" t="n">
        <v>60</v>
      </c>
      <c r="D485" s="6" t="s">
        <v>46</v>
      </c>
      <c r="E485" s="6" t="n">
        <v>41.5</v>
      </c>
      <c r="F485" s="6" t="n">
        <v>93.3</v>
      </c>
      <c r="G485" s="6" t="s">
        <v>127</v>
      </c>
    </row>
    <row r="486" customFormat="false" ht="15" hidden="false" customHeight="false" outlineLevel="0" collapsed="false">
      <c r="A486" s="6" t="s">
        <v>132</v>
      </c>
      <c r="B486" s="6" t="s">
        <v>118</v>
      </c>
      <c r="C486" s="6" t="n">
        <v>60</v>
      </c>
      <c r="D486" s="6" t="s">
        <v>47</v>
      </c>
      <c r="E486" s="6" t="n">
        <v>45.9</v>
      </c>
      <c r="F486" s="6" t="n">
        <v>91.9</v>
      </c>
      <c r="G486" s="6" t="s">
        <v>127</v>
      </c>
    </row>
    <row r="487" customFormat="false" ht="15" hidden="false" customHeight="false" outlineLevel="0" collapsed="false">
      <c r="A487" s="6" t="s">
        <v>132</v>
      </c>
      <c r="B487" s="6" t="s">
        <v>118</v>
      </c>
      <c r="C487" s="6" t="n">
        <v>60</v>
      </c>
      <c r="D487" s="6" t="s">
        <v>48</v>
      </c>
      <c r="E487" s="6" t="n">
        <v>56</v>
      </c>
      <c r="F487" s="6" t="n">
        <v>90.5</v>
      </c>
      <c r="G487" s="6" t="s">
        <v>127</v>
      </c>
    </row>
    <row r="488" customFormat="false" ht="15" hidden="false" customHeight="false" outlineLevel="0" collapsed="false">
      <c r="A488" s="6" t="s">
        <v>132</v>
      </c>
      <c r="B488" s="6" t="s">
        <v>118</v>
      </c>
      <c r="C488" s="6" t="n">
        <v>60</v>
      </c>
      <c r="D488" s="6" t="s">
        <v>49</v>
      </c>
      <c r="E488" s="6" t="n">
        <v>59.8</v>
      </c>
      <c r="F488" s="6" t="n">
        <v>90.6</v>
      </c>
      <c r="G488" s="6" t="s">
        <v>127</v>
      </c>
    </row>
    <row r="489" customFormat="false" ht="15" hidden="false" customHeight="false" outlineLevel="0" collapsed="false">
      <c r="A489" s="6" t="s">
        <v>132</v>
      </c>
      <c r="B489" s="6" t="s">
        <v>118</v>
      </c>
      <c r="C489" s="6" t="n">
        <v>60</v>
      </c>
      <c r="D489" s="6" t="s">
        <v>50</v>
      </c>
      <c r="E489" s="6" t="n">
        <v>59.3</v>
      </c>
      <c r="F489" s="6" t="n">
        <v>90.8</v>
      </c>
      <c r="G489" s="6" t="s">
        <v>127</v>
      </c>
    </row>
    <row r="490" customFormat="false" ht="15" hidden="false" customHeight="false" outlineLevel="0" collapsed="false">
      <c r="A490" s="6" t="s">
        <v>132</v>
      </c>
      <c r="B490" s="6" t="s">
        <v>118</v>
      </c>
      <c r="C490" s="6" t="n">
        <v>60</v>
      </c>
      <c r="D490" s="6" t="s">
        <v>51</v>
      </c>
      <c r="E490" s="6" t="n">
        <v>44.7</v>
      </c>
      <c r="F490" s="6" t="n">
        <v>90.5</v>
      </c>
      <c r="G490" s="6" t="s">
        <v>127</v>
      </c>
    </row>
    <row r="491" customFormat="false" ht="15" hidden="false" customHeight="false" outlineLevel="0" collapsed="false">
      <c r="A491" s="6" t="s">
        <v>132</v>
      </c>
      <c r="B491" s="6" t="s">
        <v>118</v>
      </c>
      <c r="C491" s="6" t="n">
        <v>60</v>
      </c>
      <c r="D491" s="6" t="s">
        <v>52</v>
      </c>
      <c r="E491" s="6" t="n">
        <v>41.9</v>
      </c>
      <c r="F491" s="6" t="n">
        <v>90</v>
      </c>
      <c r="G491" s="6" t="s">
        <v>127</v>
      </c>
    </row>
    <row r="492" customFormat="false" ht="15" hidden="false" customHeight="false" outlineLevel="0" collapsed="false">
      <c r="A492" s="6" t="s">
        <v>132</v>
      </c>
      <c r="B492" s="6" t="s">
        <v>118</v>
      </c>
      <c r="C492" s="6" t="n">
        <v>60</v>
      </c>
      <c r="D492" s="6" t="s">
        <v>53</v>
      </c>
      <c r="E492" s="6" t="n">
        <v>34.6</v>
      </c>
      <c r="F492" s="6" t="n">
        <v>89.7</v>
      </c>
      <c r="G492" s="6" t="s">
        <v>127</v>
      </c>
    </row>
    <row r="493" customFormat="false" ht="15" hidden="false" customHeight="false" outlineLevel="0" collapsed="false">
      <c r="A493" s="6" t="s">
        <v>132</v>
      </c>
      <c r="B493" s="6" t="s">
        <v>118</v>
      </c>
      <c r="C493" s="6" t="n">
        <v>60</v>
      </c>
      <c r="D493" s="6" t="s">
        <v>54</v>
      </c>
      <c r="E493" s="6" t="n">
        <v>36.1</v>
      </c>
      <c r="F493" s="6" t="n">
        <v>89.2</v>
      </c>
      <c r="G493" s="6" t="s">
        <v>127</v>
      </c>
    </row>
    <row r="494" customFormat="false" ht="15" hidden="false" customHeight="false" outlineLevel="0" collapsed="false">
      <c r="A494" s="6" t="s">
        <v>132</v>
      </c>
      <c r="B494" s="6" t="s">
        <v>118</v>
      </c>
      <c r="C494" s="6" t="n">
        <v>60</v>
      </c>
      <c r="D494" s="6" t="s">
        <v>55</v>
      </c>
      <c r="E494" s="6" t="n">
        <v>62</v>
      </c>
      <c r="F494" s="6" t="n">
        <v>87.6</v>
      </c>
      <c r="G494" s="6" t="s">
        <v>127</v>
      </c>
    </row>
    <row r="495" customFormat="false" ht="15" hidden="false" customHeight="false" outlineLevel="0" collapsed="false">
      <c r="A495" s="6" t="s">
        <v>132</v>
      </c>
      <c r="B495" s="6" t="s">
        <v>118</v>
      </c>
      <c r="C495" s="6" t="n">
        <v>60</v>
      </c>
      <c r="D495" s="6" t="s">
        <v>56</v>
      </c>
      <c r="E495" s="6" t="n">
        <v>62</v>
      </c>
      <c r="F495" s="6" t="n">
        <v>88.2</v>
      </c>
      <c r="G495" s="6" t="s">
        <v>127</v>
      </c>
    </row>
    <row r="496" customFormat="false" ht="15" hidden="false" customHeight="false" outlineLevel="0" collapsed="false">
      <c r="A496" s="6" t="s">
        <v>132</v>
      </c>
      <c r="B496" s="6" t="s">
        <v>118</v>
      </c>
      <c r="C496" s="6" t="n">
        <v>60</v>
      </c>
      <c r="D496" s="6" t="s">
        <v>57</v>
      </c>
      <c r="E496" s="6" t="n">
        <v>62</v>
      </c>
      <c r="F496" s="6" t="n">
        <v>89.3</v>
      </c>
      <c r="G496" s="6" t="s">
        <v>127</v>
      </c>
    </row>
    <row r="497" customFormat="false" ht="15" hidden="false" customHeight="false" outlineLevel="0" collapsed="false">
      <c r="A497" s="6" t="s">
        <v>132</v>
      </c>
      <c r="B497" s="6" t="s">
        <v>118</v>
      </c>
      <c r="C497" s="6" t="n">
        <v>60</v>
      </c>
      <c r="D497" s="6" t="s">
        <v>58</v>
      </c>
      <c r="E497" s="6" t="n">
        <v>46.4</v>
      </c>
      <c r="F497" s="6" t="n">
        <v>86.7</v>
      </c>
      <c r="G497" s="6" t="s">
        <v>127</v>
      </c>
    </row>
    <row r="498" customFormat="false" ht="15" hidden="false" customHeight="false" outlineLevel="0" collapsed="false">
      <c r="A498" s="6" t="s">
        <v>132</v>
      </c>
      <c r="B498" s="6" t="s">
        <v>118</v>
      </c>
      <c r="C498" s="6" t="n">
        <v>60</v>
      </c>
      <c r="D498" s="6" t="s">
        <v>59</v>
      </c>
      <c r="E498" s="6" t="n">
        <v>38</v>
      </c>
      <c r="F498" s="6" t="n">
        <v>87.5</v>
      </c>
      <c r="G498" s="6" t="s">
        <v>127</v>
      </c>
    </row>
    <row r="499" customFormat="false" ht="15" hidden="false" customHeight="false" outlineLevel="0" collapsed="false">
      <c r="A499" s="6" t="s">
        <v>132</v>
      </c>
      <c r="B499" s="6" t="s">
        <v>118</v>
      </c>
      <c r="C499" s="6" t="n">
        <v>60</v>
      </c>
      <c r="D499" s="6" t="s">
        <v>60</v>
      </c>
      <c r="E499" s="6" t="n">
        <v>36.1</v>
      </c>
      <c r="F499" s="6" t="n">
        <v>86.5</v>
      </c>
      <c r="G499" s="6" t="s">
        <v>127</v>
      </c>
    </row>
    <row r="500" customFormat="false" ht="15" hidden="false" customHeight="false" outlineLevel="0" collapsed="false">
      <c r="A500" s="6" t="s">
        <v>132</v>
      </c>
      <c r="B500" s="6" t="s">
        <v>118</v>
      </c>
      <c r="C500" s="6" t="n">
        <v>60</v>
      </c>
      <c r="D500" s="6" t="s">
        <v>61</v>
      </c>
      <c r="E500" s="6" t="n">
        <v>41.8</v>
      </c>
      <c r="F500" s="6" t="n">
        <v>87.1</v>
      </c>
      <c r="G500" s="6" t="s">
        <v>127</v>
      </c>
    </row>
    <row r="501" customFormat="false" ht="15" hidden="false" customHeight="false" outlineLevel="0" collapsed="false">
      <c r="A501" s="6" t="s">
        <v>132</v>
      </c>
      <c r="B501" s="6" t="s">
        <v>118</v>
      </c>
      <c r="C501" s="6" t="n">
        <v>60</v>
      </c>
      <c r="D501" s="6" t="s">
        <v>62</v>
      </c>
      <c r="E501" s="6" t="n">
        <v>39.3</v>
      </c>
      <c r="F501" s="6" t="n">
        <v>86.3</v>
      </c>
      <c r="G501" s="6" t="s">
        <v>127</v>
      </c>
    </row>
    <row r="502" customFormat="false" ht="15" hidden="false" customHeight="false" outlineLevel="0" collapsed="false">
      <c r="A502" s="6" t="s">
        <v>132</v>
      </c>
      <c r="B502" s="6" t="s">
        <v>118</v>
      </c>
      <c r="C502" s="6" t="n">
        <v>60</v>
      </c>
      <c r="D502" s="6" t="s">
        <v>63</v>
      </c>
      <c r="E502" s="6" t="n">
        <v>41.6</v>
      </c>
      <c r="F502" s="6" t="n">
        <v>87.8</v>
      </c>
      <c r="G502" s="6" t="s">
        <v>127</v>
      </c>
    </row>
    <row r="503" customFormat="false" ht="15" hidden="false" customHeight="false" outlineLevel="0" collapsed="false">
      <c r="A503" s="6" t="s">
        <v>132</v>
      </c>
      <c r="B503" s="6" t="s">
        <v>118</v>
      </c>
      <c r="C503" s="6" t="n">
        <v>60</v>
      </c>
      <c r="D503" s="6" t="s">
        <v>64</v>
      </c>
      <c r="E503" s="6" t="n">
        <v>36</v>
      </c>
      <c r="F503" s="6" t="n">
        <v>86.5</v>
      </c>
      <c r="G503" s="6" t="s">
        <v>127</v>
      </c>
    </row>
    <row r="504" customFormat="false" ht="15" hidden="false" customHeight="false" outlineLevel="0" collapsed="false">
      <c r="A504" s="6" t="s">
        <v>132</v>
      </c>
      <c r="B504" s="6" t="s">
        <v>118</v>
      </c>
      <c r="C504" s="6" t="n">
        <v>60</v>
      </c>
      <c r="D504" s="6" t="s">
        <v>65</v>
      </c>
      <c r="E504" s="6" t="n">
        <v>35.8</v>
      </c>
      <c r="F504" s="6" t="n">
        <v>84.3</v>
      </c>
      <c r="G504" s="6" t="s">
        <v>127</v>
      </c>
    </row>
    <row r="505" customFormat="false" ht="15" hidden="false" customHeight="false" outlineLevel="0" collapsed="false">
      <c r="A505" s="6" t="s">
        <v>132</v>
      </c>
      <c r="B505" s="6" t="s">
        <v>118</v>
      </c>
      <c r="C505" s="6" t="n">
        <v>60</v>
      </c>
      <c r="D505" s="6" t="s">
        <v>66</v>
      </c>
      <c r="E505" s="6" t="n">
        <v>39.4</v>
      </c>
      <c r="F505" s="6" t="n">
        <v>86</v>
      </c>
      <c r="G505" s="6" t="s">
        <v>127</v>
      </c>
    </row>
    <row r="506" customFormat="false" ht="15" hidden="false" customHeight="false" outlineLevel="0" collapsed="false">
      <c r="A506" s="6" t="s">
        <v>132</v>
      </c>
      <c r="B506" s="6" t="s">
        <v>118</v>
      </c>
      <c r="C506" s="6" t="n">
        <v>60</v>
      </c>
      <c r="D506" s="6" t="s">
        <v>67</v>
      </c>
      <c r="E506" s="6" t="n">
        <v>36.6</v>
      </c>
      <c r="F506" s="6" t="n">
        <v>84.2</v>
      </c>
      <c r="G506" s="6" t="s">
        <v>127</v>
      </c>
    </row>
    <row r="507" customFormat="false" ht="15" hidden="false" customHeight="false" outlineLevel="0" collapsed="false">
      <c r="A507" s="6" t="s">
        <v>132</v>
      </c>
      <c r="B507" s="6" t="s">
        <v>118</v>
      </c>
      <c r="C507" s="6" t="n">
        <v>60</v>
      </c>
      <c r="D507" s="6" t="s">
        <v>68</v>
      </c>
      <c r="E507" s="6" t="n">
        <v>55.5</v>
      </c>
      <c r="F507" s="6" t="n">
        <v>84</v>
      </c>
      <c r="G507" s="6" t="s">
        <v>127</v>
      </c>
    </row>
    <row r="508" customFormat="false" ht="15" hidden="false" customHeight="false" outlineLevel="0" collapsed="false">
      <c r="A508" s="6" t="s">
        <v>132</v>
      </c>
      <c r="B508" s="6" t="s">
        <v>118</v>
      </c>
      <c r="C508" s="6" t="n">
        <v>60</v>
      </c>
      <c r="D508" s="6" t="s">
        <v>69</v>
      </c>
      <c r="E508" s="6" t="n">
        <v>62</v>
      </c>
      <c r="F508" s="6" t="n">
        <v>84.6</v>
      </c>
      <c r="G508" s="6" t="s">
        <v>127</v>
      </c>
    </row>
    <row r="509" customFormat="false" ht="15" hidden="false" customHeight="false" outlineLevel="0" collapsed="false">
      <c r="A509" s="6" t="s">
        <v>132</v>
      </c>
      <c r="B509" s="6" t="s">
        <v>118</v>
      </c>
      <c r="C509" s="6" t="n">
        <v>60</v>
      </c>
      <c r="D509" s="6" t="s">
        <v>70</v>
      </c>
      <c r="E509" s="6" t="n">
        <v>62</v>
      </c>
      <c r="F509" s="6" t="n">
        <v>83.4</v>
      </c>
      <c r="G509" s="6" t="s">
        <v>127</v>
      </c>
    </row>
    <row r="510" customFormat="false" ht="15" hidden="false" customHeight="false" outlineLevel="0" collapsed="false">
      <c r="A510" s="6" t="s">
        <v>132</v>
      </c>
      <c r="B510" s="6" t="s">
        <v>118</v>
      </c>
      <c r="C510" s="6" t="n">
        <v>60</v>
      </c>
      <c r="D510" s="6" t="s">
        <v>71</v>
      </c>
      <c r="E510" s="6" t="n">
        <v>50.5</v>
      </c>
      <c r="F510" s="6" t="n">
        <v>84.5</v>
      </c>
      <c r="G510" s="6" t="s">
        <v>127</v>
      </c>
    </row>
    <row r="511" customFormat="false" ht="15" hidden="false" customHeight="false" outlineLevel="0" collapsed="false">
      <c r="A511" s="6" t="s">
        <v>132</v>
      </c>
      <c r="B511" s="6" t="s">
        <v>118</v>
      </c>
      <c r="C511" s="6" t="n">
        <v>60</v>
      </c>
      <c r="D511" s="6" t="s">
        <v>72</v>
      </c>
      <c r="E511" s="6" t="n">
        <v>37</v>
      </c>
      <c r="F511" s="6" t="n">
        <v>82.5</v>
      </c>
      <c r="G511" s="6" t="s">
        <v>127</v>
      </c>
    </row>
    <row r="512" customFormat="false" ht="15" hidden="false" customHeight="false" outlineLevel="0" collapsed="false">
      <c r="A512" s="6" t="s">
        <v>132</v>
      </c>
      <c r="B512" s="6" t="s">
        <v>118</v>
      </c>
      <c r="C512" s="6" t="n">
        <v>60</v>
      </c>
      <c r="D512" s="6" t="s">
        <v>73</v>
      </c>
      <c r="E512" s="6" t="n">
        <v>40.4</v>
      </c>
      <c r="F512" s="6" t="n">
        <v>82.3</v>
      </c>
      <c r="G512" s="6" t="s">
        <v>127</v>
      </c>
    </row>
    <row r="513" customFormat="false" ht="15" hidden="false" customHeight="false" outlineLevel="0" collapsed="false">
      <c r="A513" s="6" t="s">
        <v>132</v>
      </c>
      <c r="B513" s="6" t="s">
        <v>118</v>
      </c>
      <c r="C513" s="6" t="n">
        <v>60</v>
      </c>
      <c r="D513" s="6" t="s">
        <v>74</v>
      </c>
      <c r="E513" s="6" t="n">
        <v>47.1</v>
      </c>
      <c r="F513" s="6" t="n">
        <v>81.9</v>
      </c>
      <c r="G513" s="6" t="s">
        <v>127</v>
      </c>
    </row>
    <row r="514" customFormat="false" ht="15" hidden="false" customHeight="false" outlineLevel="0" collapsed="false">
      <c r="A514" s="6" t="s">
        <v>132</v>
      </c>
      <c r="B514" s="6" t="s">
        <v>118</v>
      </c>
      <c r="C514" s="6" t="n">
        <v>60</v>
      </c>
      <c r="D514" s="6" t="s">
        <v>75</v>
      </c>
      <c r="E514" s="6" t="n">
        <v>51.3</v>
      </c>
      <c r="F514" s="6" t="n">
        <v>81.7</v>
      </c>
      <c r="G514" s="6" t="s">
        <v>127</v>
      </c>
    </row>
    <row r="515" customFormat="false" ht="15" hidden="false" customHeight="false" outlineLevel="0" collapsed="false">
      <c r="A515" s="6" t="s">
        <v>132</v>
      </c>
      <c r="B515" s="6" t="s">
        <v>118</v>
      </c>
      <c r="C515" s="6" t="n">
        <v>60</v>
      </c>
      <c r="D515" s="6" t="s">
        <v>76</v>
      </c>
      <c r="E515" s="6" t="n">
        <v>55.7</v>
      </c>
      <c r="F515" s="6" t="n">
        <v>83</v>
      </c>
      <c r="G515" s="6" t="s">
        <v>127</v>
      </c>
    </row>
    <row r="516" customFormat="false" ht="15" hidden="false" customHeight="false" outlineLevel="0" collapsed="false">
      <c r="A516" s="6" t="s">
        <v>132</v>
      </c>
      <c r="B516" s="6" t="s">
        <v>118</v>
      </c>
      <c r="C516" s="6" t="n">
        <v>60</v>
      </c>
      <c r="D516" s="6" t="s">
        <v>77</v>
      </c>
      <c r="E516" s="6" t="n">
        <v>56.1</v>
      </c>
      <c r="F516" s="6" t="n">
        <v>82.2</v>
      </c>
      <c r="G516" s="6" t="s">
        <v>127</v>
      </c>
    </row>
    <row r="517" customFormat="false" ht="15" hidden="false" customHeight="false" outlineLevel="0" collapsed="false">
      <c r="A517" s="6" t="s">
        <v>132</v>
      </c>
      <c r="B517" s="6" t="s">
        <v>118</v>
      </c>
      <c r="C517" s="6" t="n">
        <v>60</v>
      </c>
      <c r="D517" s="6" t="s">
        <v>78</v>
      </c>
      <c r="E517" s="6" t="n">
        <v>55.6</v>
      </c>
      <c r="F517" s="6" t="n">
        <v>82.9</v>
      </c>
      <c r="G517" s="6" t="s">
        <v>127</v>
      </c>
    </row>
    <row r="518" customFormat="false" ht="15" hidden="false" customHeight="false" outlineLevel="0" collapsed="false">
      <c r="A518" s="6" t="s">
        <v>132</v>
      </c>
      <c r="B518" s="6" t="s">
        <v>118</v>
      </c>
      <c r="C518" s="6" t="n">
        <v>60</v>
      </c>
      <c r="D518" s="6" t="s">
        <v>79</v>
      </c>
      <c r="E518" s="6" t="n">
        <v>53.9</v>
      </c>
      <c r="F518" s="6" t="n">
        <v>83.1</v>
      </c>
      <c r="G518" s="6" t="s">
        <v>127</v>
      </c>
    </row>
    <row r="519" customFormat="false" ht="15" hidden="false" customHeight="false" outlineLevel="0" collapsed="false">
      <c r="A519" s="6" t="s">
        <v>132</v>
      </c>
      <c r="B519" s="6" t="s">
        <v>118</v>
      </c>
      <c r="C519" s="6" t="n">
        <v>60</v>
      </c>
      <c r="D519" s="6" t="s">
        <v>80</v>
      </c>
      <c r="E519" s="6" t="n">
        <v>45.5</v>
      </c>
      <c r="F519" s="6" t="n">
        <v>79.5</v>
      </c>
      <c r="G519" s="6" t="s">
        <v>127</v>
      </c>
    </row>
    <row r="520" customFormat="false" ht="15" hidden="false" customHeight="false" outlineLevel="0" collapsed="false">
      <c r="A520" s="6" t="s">
        <v>132</v>
      </c>
      <c r="B520" s="6" t="s">
        <v>118</v>
      </c>
      <c r="C520" s="6" t="n">
        <v>60</v>
      </c>
      <c r="D520" s="6" t="s">
        <v>81</v>
      </c>
      <c r="E520" s="6" t="n">
        <v>62</v>
      </c>
      <c r="F520" s="6" t="n">
        <v>80.3</v>
      </c>
      <c r="G520" s="6" t="s">
        <v>127</v>
      </c>
    </row>
    <row r="521" customFormat="false" ht="15" hidden="false" customHeight="false" outlineLevel="0" collapsed="false">
      <c r="A521" s="6" t="s">
        <v>132</v>
      </c>
      <c r="B521" s="6" t="s">
        <v>118</v>
      </c>
      <c r="C521" s="6" t="n">
        <v>60</v>
      </c>
      <c r="D521" s="6" t="s">
        <v>82</v>
      </c>
      <c r="E521" s="6" t="n">
        <v>48</v>
      </c>
      <c r="F521" s="6" t="n">
        <v>78.7</v>
      </c>
      <c r="G521" s="6" t="s">
        <v>127</v>
      </c>
    </row>
    <row r="522" customFormat="false" ht="15" hidden="false" customHeight="false" outlineLevel="0" collapsed="false">
      <c r="A522" s="6" t="s">
        <v>132</v>
      </c>
      <c r="B522" s="6" t="s">
        <v>118</v>
      </c>
      <c r="C522" s="6" t="n">
        <v>60</v>
      </c>
      <c r="D522" s="6" t="s">
        <v>83</v>
      </c>
      <c r="E522" s="6" t="n">
        <v>49</v>
      </c>
      <c r="F522" s="6" t="n">
        <v>78.7</v>
      </c>
      <c r="G522" s="6" t="s">
        <v>127</v>
      </c>
    </row>
    <row r="523" customFormat="false" ht="15" hidden="false" customHeight="false" outlineLevel="0" collapsed="false">
      <c r="A523" s="6" t="s">
        <v>132</v>
      </c>
      <c r="B523" s="6" t="s">
        <v>118</v>
      </c>
      <c r="C523" s="6" t="n">
        <v>60</v>
      </c>
      <c r="D523" s="6" t="s">
        <v>84</v>
      </c>
      <c r="E523" s="6" t="n">
        <v>36.6</v>
      </c>
      <c r="F523" s="6" t="n">
        <v>78.5</v>
      </c>
      <c r="G523" s="6" t="s">
        <v>127</v>
      </c>
    </row>
    <row r="524" customFormat="false" ht="15" hidden="false" customHeight="false" outlineLevel="0" collapsed="false">
      <c r="A524" s="6" t="s">
        <v>132</v>
      </c>
      <c r="B524" s="6" t="s">
        <v>118</v>
      </c>
      <c r="C524" s="6" t="n">
        <v>60</v>
      </c>
      <c r="D524" s="6" t="s">
        <v>85</v>
      </c>
      <c r="E524" s="6" t="n">
        <v>36.3</v>
      </c>
      <c r="F524" s="6" t="n">
        <v>77.8</v>
      </c>
      <c r="G524" s="6" t="s">
        <v>127</v>
      </c>
    </row>
    <row r="525" customFormat="false" ht="15" hidden="false" customHeight="false" outlineLevel="0" collapsed="false">
      <c r="A525" s="6" t="s">
        <v>132</v>
      </c>
      <c r="B525" s="6" t="s">
        <v>118</v>
      </c>
      <c r="C525" s="6" t="n">
        <v>60</v>
      </c>
      <c r="D525" s="6" t="s">
        <v>86</v>
      </c>
      <c r="E525" s="6" t="n">
        <v>44.3</v>
      </c>
      <c r="F525" s="6" t="n">
        <v>77.4</v>
      </c>
      <c r="G525" s="6" t="s">
        <v>127</v>
      </c>
    </row>
    <row r="526" customFormat="false" ht="15" hidden="false" customHeight="false" outlineLevel="0" collapsed="false">
      <c r="A526" s="6" t="s">
        <v>132</v>
      </c>
      <c r="B526" s="6" t="s">
        <v>118</v>
      </c>
      <c r="C526" s="6" t="n">
        <v>60</v>
      </c>
      <c r="D526" s="6" t="s">
        <v>87</v>
      </c>
      <c r="E526" s="6" t="n">
        <v>43.5</v>
      </c>
      <c r="F526" s="6" t="n">
        <v>78</v>
      </c>
      <c r="G526" s="6" t="s">
        <v>127</v>
      </c>
    </row>
    <row r="527" customFormat="false" ht="15" hidden="false" customHeight="false" outlineLevel="0" collapsed="false">
      <c r="A527" s="6" t="s">
        <v>132</v>
      </c>
      <c r="B527" s="6" t="s">
        <v>118</v>
      </c>
      <c r="C527" s="6" t="n">
        <v>60</v>
      </c>
      <c r="D527" s="6" t="s">
        <v>88</v>
      </c>
      <c r="E527" s="6" t="n">
        <v>44.9</v>
      </c>
      <c r="F527" s="6" t="n">
        <v>76.6</v>
      </c>
      <c r="G527" s="6" t="s">
        <v>127</v>
      </c>
    </row>
    <row r="528" customFormat="false" ht="15" hidden="false" customHeight="false" outlineLevel="0" collapsed="false">
      <c r="A528" s="6" t="s">
        <v>132</v>
      </c>
      <c r="B528" s="6" t="s">
        <v>118</v>
      </c>
      <c r="C528" s="6" t="n">
        <v>60</v>
      </c>
      <c r="D528" s="6" t="s">
        <v>89</v>
      </c>
      <c r="E528" s="6" t="n">
        <v>31.4</v>
      </c>
      <c r="F528" s="6" t="n">
        <v>78.3</v>
      </c>
      <c r="G528" s="6" t="s">
        <v>127</v>
      </c>
    </row>
    <row r="529" customFormat="false" ht="15" hidden="false" customHeight="false" outlineLevel="0" collapsed="false">
      <c r="A529" s="6" t="s">
        <v>132</v>
      </c>
      <c r="B529" s="6" t="s">
        <v>118</v>
      </c>
      <c r="C529" s="6" t="n">
        <v>60</v>
      </c>
      <c r="D529" s="6" t="s">
        <v>90</v>
      </c>
      <c r="E529" s="6" t="n">
        <v>27.3</v>
      </c>
      <c r="F529" s="6" t="n">
        <v>76.2</v>
      </c>
      <c r="G529" s="6" t="s">
        <v>127</v>
      </c>
    </row>
    <row r="530" customFormat="false" ht="15" hidden="false" customHeight="false" outlineLevel="0" collapsed="false">
      <c r="A530" s="6" t="s">
        <v>132</v>
      </c>
      <c r="B530" s="6" t="s">
        <v>118</v>
      </c>
      <c r="C530" s="6" t="n">
        <v>60</v>
      </c>
      <c r="D530" s="6" t="s">
        <v>91</v>
      </c>
      <c r="E530" s="6" t="n">
        <v>30</v>
      </c>
      <c r="F530" s="6" t="n">
        <v>79.6</v>
      </c>
      <c r="G530" s="6" t="s">
        <v>127</v>
      </c>
    </row>
    <row r="531" customFormat="false" ht="15" hidden="false" customHeight="false" outlineLevel="0" collapsed="false">
      <c r="A531" s="6" t="s">
        <v>132</v>
      </c>
      <c r="B531" s="6" t="s">
        <v>118</v>
      </c>
      <c r="C531" s="6" t="n">
        <v>60</v>
      </c>
      <c r="D531" s="6" t="s">
        <v>92</v>
      </c>
      <c r="E531" s="6" t="n">
        <v>30.7</v>
      </c>
      <c r="F531" s="6" t="n">
        <v>76</v>
      </c>
      <c r="G531" s="6" t="s">
        <v>127</v>
      </c>
    </row>
    <row r="532" customFormat="false" ht="15" hidden="false" customHeight="false" outlineLevel="0" collapsed="false">
      <c r="A532" s="6" t="s">
        <v>132</v>
      </c>
      <c r="B532" s="6" t="s">
        <v>118</v>
      </c>
      <c r="C532" s="6" t="n">
        <v>60</v>
      </c>
      <c r="D532" s="6" t="s">
        <v>93</v>
      </c>
      <c r="E532" s="6" t="n">
        <v>30.7</v>
      </c>
      <c r="F532" s="6" t="n">
        <v>76.2</v>
      </c>
      <c r="G532" s="6" t="s">
        <v>127</v>
      </c>
    </row>
    <row r="533" customFormat="false" ht="15" hidden="false" customHeight="false" outlineLevel="0" collapsed="false">
      <c r="A533" s="6" t="s">
        <v>132</v>
      </c>
      <c r="B533" s="6" t="s">
        <v>118</v>
      </c>
      <c r="C533" s="6" t="n">
        <v>60</v>
      </c>
      <c r="D533" s="6" t="s">
        <v>94</v>
      </c>
      <c r="E533" s="6" t="n">
        <v>36.2</v>
      </c>
      <c r="F533" s="6" t="n">
        <v>74.4</v>
      </c>
      <c r="G533" s="6" t="s">
        <v>127</v>
      </c>
    </row>
    <row r="534" customFormat="false" ht="15" hidden="false" customHeight="false" outlineLevel="0" collapsed="false">
      <c r="A534" s="6" t="s">
        <v>132</v>
      </c>
      <c r="B534" s="6" t="s">
        <v>118</v>
      </c>
      <c r="C534" s="6" t="n">
        <v>60</v>
      </c>
      <c r="D534" s="6" t="s">
        <v>95</v>
      </c>
      <c r="E534" s="6" t="n">
        <v>43.6</v>
      </c>
      <c r="F534" s="6" t="n">
        <v>77.1</v>
      </c>
      <c r="G534" s="6" t="s">
        <v>127</v>
      </c>
    </row>
    <row r="535" customFormat="false" ht="15" hidden="false" customHeight="false" outlineLevel="0" collapsed="false">
      <c r="A535" s="6" t="s">
        <v>132</v>
      </c>
      <c r="B535" s="6" t="s">
        <v>118</v>
      </c>
      <c r="C535" s="6" t="n">
        <v>60</v>
      </c>
      <c r="D535" s="6" t="s">
        <v>96</v>
      </c>
      <c r="E535" s="6" t="n">
        <v>48.3</v>
      </c>
      <c r="F535" s="6" t="n">
        <v>76.2</v>
      </c>
      <c r="G535" s="6" t="s">
        <v>127</v>
      </c>
    </row>
    <row r="536" customFormat="false" ht="15" hidden="false" customHeight="false" outlineLevel="0" collapsed="false">
      <c r="A536" s="6" t="s">
        <v>132</v>
      </c>
      <c r="B536" s="6" t="s">
        <v>118</v>
      </c>
      <c r="C536" s="6" t="n">
        <v>60</v>
      </c>
      <c r="D536" s="6" t="s">
        <v>97</v>
      </c>
      <c r="E536" s="6" t="n">
        <v>49.3</v>
      </c>
      <c r="F536" s="6" t="n">
        <v>75</v>
      </c>
      <c r="G536" s="6" t="s">
        <v>127</v>
      </c>
    </row>
    <row r="537" customFormat="false" ht="15" hidden="false" customHeight="false" outlineLevel="0" collapsed="false">
      <c r="A537" s="6" t="s">
        <v>132</v>
      </c>
      <c r="B537" s="6" t="s">
        <v>118</v>
      </c>
      <c r="C537" s="6" t="n">
        <v>60</v>
      </c>
      <c r="D537" s="6" t="s">
        <v>98</v>
      </c>
      <c r="E537" s="6" t="n">
        <v>43.5</v>
      </c>
      <c r="F537" s="6" t="n">
        <v>73</v>
      </c>
      <c r="G537" s="6" t="s">
        <v>127</v>
      </c>
    </row>
    <row r="538" customFormat="false" ht="15" hidden="false" customHeight="false" outlineLevel="0" collapsed="false">
      <c r="A538" s="6" t="s">
        <v>132</v>
      </c>
      <c r="B538" s="6" t="s">
        <v>118</v>
      </c>
      <c r="C538" s="6" t="n">
        <v>60</v>
      </c>
      <c r="D538" s="6" t="s">
        <v>99</v>
      </c>
      <c r="E538" s="6" t="n">
        <v>39.7</v>
      </c>
      <c r="F538" s="6" t="n">
        <v>74.2</v>
      </c>
      <c r="G538" s="6" t="s">
        <v>127</v>
      </c>
    </row>
    <row r="539" customFormat="false" ht="15" hidden="false" customHeight="false" outlineLevel="0" collapsed="false">
      <c r="A539" s="6" t="s">
        <v>132</v>
      </c>
      <c r="B539" s="6" t="s">
        <v>118</v>
      </c>
      <c r="C539" s="6" t="n">
        <v>60</v>
      </c>
      <c r="D539" s="6" t="s">
        <v>100</v>
      </c>
      <c r="E539" s="6" t="n">
        <v>40.2</v>
      </c>
      <c r="F539" s="6" t="n">
        <v>72.6</v>
      </c>
      <c r="G539" s="6" t="s">
        <v>127</v>
      </c>
    </row>
    <row r="540" customFormat="false" ht="15" hidden="false" customHeight="false" outlineLevel="0" collapsed="false">
      <c r="A540" s="6" t="s">
        <v>132</v>
      </c>
      <c r="B540" s="6" t="s">
        <v>118</v>
      </c>
      <c r="C540" s="6" t="n">
        <v>60</v>
      </c>
      <c r="D540" s="6" t="s">
        <v>101</v>
      </c>
      <c r="E540" s="6" t="n">
        <v>36</v>
      </c>
      <c r="F540" s="6" t="n">
        <v>74.8</v>
      </c>
      <c r="G540" s="6" t="s">
        <v>127</v>
      </c>
    </row>
    <row r="541" customFormat="false" ht="15" hidden="false" customHeight="false" outlineLevel="0" collapsed="false">
      <c r="A541" s="6" t="s">
        <v>132</v>
      </c>
      <c r="B541" s="6" t="s">
        <v>118</v>
      </c>
      <c r="C541" s="6" t="n">
        <v>60</v>
      </c>
      <c r="D541" s="6" t="s">
        <v>102</v>
      </c>
      <c r="E541" s="6" t="n">
        <v>33.8</v>
      </c>
      <c r="F541" s="6" t="n">
        <v>73.8</v>
      </c>
      <c r="G541" s="6" t="s">
        <v>127</v>
      </c>
    </row>
    <row r="542" customFormat="false" ht="15" hidden="false" customHeight="false" outlineLevel="0" collapsed="false">
      <c r="A542" s="6" t="s">
        <v>132</v>
      </c>
      <c r="B542" s="6" t="s">
        <v>118</v>
      </c>
      <c r="C542" s="6" t="n">
        <v>60</v>
      </c>
      <c r="D542" s="6" t="s">
        <v>103</v>
      </c>
      <c r="E542" s="6" t="n">
        <v>30.6</v>
      </c>
      <c r="F542" s="6" t="n">
        <v>72.8</v>
      </c>
      <c r="G542" s="6" t="s">
        <v>127</v>
      </c>
    </row>
    <row r="543" customFormat="false" ht="15" hidden="false" customHeight="false" outlineLevel="0" collapsed="false">
      <c r="A543" s="6" t="s">
        <v>132</v>
      </c>
      <c r="B543" s="6" t="s">
        <v>118</v>
      </c>
      <c r="C543" s="6" t="n">
        <v>60</v>
      </c>
      <c r="D543" s="6" t="s">
        <v>104</v>
      </c>
      <c r="E543" s="6" t="n">
        <v>32.3</v>
      </c>
      <c r="F543" s="6" t="n">
        <v>69.9</v>
      </c>
      <c r="G543" s="6" t="s">
        <v>127</v>
      </c>
    </row>
    <row r="544" customFormat="false" ht="15" hidden="false" customHeight="false" outlineLevel="0" collapsed="false">
      <c r="A544" s="6" t="s">
        <v>132</v>
      </c>
      <c r="B544" s="6" t="s">
        <v>118</v>
      </c>
      <c r="C544" s="6" t="n">
        <v>60</v>
      </c>
      <c r="D544" s="6" t="s">
        <v>105</v>
      </c>
      <c r="E544" s="6" t="n">
        <v>31.1</v>
      </c>
      <c r="F544" s="6" t="n">
        <v>71</v>
      </c>
      <c r="G544" s="6" t="s">
        <v>127</v>
      </c>
    </row>
    <row r="545" customFormat="false" ht="15" hidden="false" customHeight="false" outlineLevel="0" collapsed="false">
      <c r="A545" s="6" t="s">
        <v>132</v>
      </c>
      <c r="B545" s="6" t="s">
        <v>118</v>
      </c>
      <c r="C545" s="6" t="n">
        <v>60</v>
      </c>
      <c r="D545" s="6" t="s">
        <v>106</v>
      </c>
      <c r="E545" s="6" t="n">
        <v>28.5</v>
      </c>
      <c r="F545" s="6" t="n">
        <v>72.3</v>
      </c>
      <c r="G545" s="6" t="s">
        <v>127</v>
      </c>
    </row>
    <row r="546" customFormat="false" ht="15" hidden="false" customHeight="false" outlineLevel="0" collapsed="false">
      <c r="A546" s="6" t="s">
        <v>132</v>
      </c>
      <c r="B546" s="6" t="s">
        <v>118</v>
      </c>
      <c r="C546" s="6" t="n">
        <v>60</v>
      </c>
      <c r="D546" s="6" t="s">
        <v>107</v>
      </c>
      <c r="E546" s="6" t="n">
        <v>35.8</v>
      </c>
      <c r="F546" s="6" t="n">
        <v>72.5</v>
      </c>
      <c r="G546" s="6" t="s">
        <v>127</v>
      </c>
    </row>
    <row r="547" customFormat="false" ht="15" hidden="false" customHeight="false" outlineLevel="0" collapsed="false">
      <c r="A547" s="6" t="s">
        <v>132</v>
      </c>
      <c r="B547" s="6" t="s">
        <v>118</v>
      </c>
      <c r="C547" s="6" t="n">
        <v>60</v>
      </c>
      <c r="D547" s="6" t="s">
        <v>108</v>
      </c>
      <c r="E547" s="6" t="n">
        <v>42.3</v>
      </c>
      <c r="F547" s="6" t="n">
        <v>72.1</v>
      </c>
      <c r="G547" s="6" t="s">
        <v>127</v>
      </c>
    </row>
    <row r="548" customFormat="false" ht="15" hidden="false" customHeight="false" outlineLevel="0" collapsed="false">
      <c r="A548" s="6" t="s">
        <v>132</v>
      </c>
      <c r="B548" s="6" t="s">
        <v>118</v>
      </c>
      <c r="C548" s="6" t="n">
        <v>60</v>
      </c>
      <c r="D548" s="6" t="s">
        <v>109</v>
      </c>
      <c r="E548" s="6" t="n">
        <v>41.4</v>
      </c>
      <c r="F548" s="6" t="n">
        <v>69</v>
      </c>
      <c r="G548" s="6" t="s">
        <v>127</v>
      </c>
    </row>
    <row r="549" customFormat="false" ht="15" hidden="false" customHeight="false" outlineLevel="0" collapsed="false">
      <c r="A549" s="6" t="s">
        <v>132</v>
      </c>
      <c r="B549" s="6" t="s">
        <v>118</v>
      </c>
      <c r="C549" s="6" t="n">
        <v>60</v>
      </c>
      <c r="D549" s="6" t="s">
        <v>110</v>
      </c>
      <c r="E549" s="6" t="n">
        <v>38.1</v>
      </c>
      <c r="F549" s="6" t="n">
        <v>70.6</v>
      </c>
      <c r="G549" s="6" t="s">
        <v>127</v>
      </c>
    </row>
    <row r="550" customFormat="false" ht="15" hidden="false" customHeight="false" outlineLevel="0" collapsed="false">
      <c r="A550" s="6" t="s">
        <v>132</v>
      </c>
      <c r="B550" s="6" t="s">
        <v>118</v>
      </c>
      <c r="C550" s="6" t="n">
        <v>60</v>
      </c>
      <c r="D550" s="6" t="s">
        <v>111</v>
      </c>
      <c r="E550" s="6" t="n">
        <v>44.5</v>
      </c>
      <c r="F550" s="6" t="n">
        <v>70.9</v>
      </c>
      <c r="G550" s="6" t="s">
        <v>127</v>
      </c>
    </row>
    <row r="551" customFormat="false" ht="15" hidden="false" customHeight="false" outlineLevel="0" collapsed="false">
      <c r="A551" s="6" t="s">
        <v>132</v>
      </c>
      <c r="B551" s="6" t="s">
        <v>118</v>
      </c>
      <c r="C551" s="6" t="n">
        <v>60</v>
      </c>
      <c r="D551" s="6" t="s">
        <v>112</v>
      </c>
      <c r="E551" s="6" t="n">
        <v>49.8</v>
      </c>
      <c r="F551" s="6" t="n">
        <v>67.9</v>
      </c>
      <c r="G551" s="6" t="s">
        <v>127</v>
      </c>
    </row>
    <row r="552" customFormat="false" ht="15" hidden="false" customHeight="false" outlineLevel="0" collapsed="false">
      <c r="A552" s="6" t="s">
        <v>132</v>
      </c>
      <c r="B552" s="6" t="s">
        <v>118</v>
      </c>
      <c r="C552" s="6" t="n">
        <v>60</v>
      </c>
      <c r="D552" s="6" t="s">
        <v>113</v>
      </c>
      <c r="E552" s="6" t="n">
        <v>45.6</v>
      </c>
      <c r="F552" s="6" t="n">
        <v>69.2</v>
      </c>
      <c r="G552" s="6" t="s">
        <v>127</v>
      </c>
    </row>
    <row r="553" customFormat="false" ht="15" hidden="false" customHeight="false" outlineLevel="0" collapsed="false">
      <c r="A553" s="6" t="s">
        <v>132</v>
      </c>
      <c r="B553" s="6" t="s">
        <v>118</v>
      </c>
      <c r="C553" s="6" t="n">
        <v>60</v>
      </c>
      <c r="D553" s="6" t="s">
        <v>114</v>
      </c>
      <c r="E553" s="6" t="n">
        <v>36.2</v>
      </c>
      <c r="F553" s="6" t="n">
        <v>69.2</v>
      </c>
      <c r="G553" s="6" t="s">
        <v>127</v>
      </c>
    </row>
    <row r="554" customFormat="false" ht="15" hidden="false" customHeight="false" outlineLevel="0" collapsed="false">
      <c r="A554" s="6" t="s">
        <v>133</v>
      </c>
      <c r="B554" s="6" t="s">
        <v>120</v>
      </c>
      <c r="C554" s="6" t="n">
        <v>30</v>
      </c>
      <c r="D554" s="6" t="s">
        <v>23</v>
      </c>
      <c r="E554" s="6" t="n">
        <v>25.3</v>
      </c>
      <c r="F554" s="6" t="n">
        <v>98.9</v>
      </c>
      <c r="G554" s="6" t="s">
        <v>127</v>
      </c>
    </row>
    <row r="555" customFormat="false" ht="15" hidden="false" customHeight="false" outlineLevel="0" collapsed="false">
      <c r="A555" s="6" t="s">
        <v>133</v>
      </c>
      <c r="B555" s="6" t="s">
        <v>120</v>
      </c>
      <c r="C555" s="6" t="n">
        <v>30</v>
      </c>
      <c r="D555" s="6" t="s">
        <v>24</v>
      </c>
      <c r="E555" s="6" t="n">
        <v>27.6</v>
      </c>
      <c r="F555" s="6" t="n">
        <v>99.9</v>
      </c>
      <c r="G555" s="6" t="s">
        <v>127</v>
      </c>
    </row>
    <row r="556" customFormat="false" ht="15" hidden="false" customHeight="false" outlineLevel="0" collapsed="false">
      <c r="A556" s="6" t="s">
        <v>133</v>
      </c>
      <c r="B556" s="6" t="s">
        <v>120</v>
      </c>
      <c r="C556" s="6" t="n">
        <v>30</v>
      </c>
      <c r="D556" s="6" t="s">
        <v>25</v>
      </c>
      <c r="E556" s="6" t="n">
        <v>33.4</v>
      </c>
      <c r="F556" s="6" t="n">
        <v>97.9</v>
      </c>
      <c r="G556" s="6" t="s">
        <v>127</v>
      </c>
    </row>
    <row r="557" customFormat="false" ht="15" hidden="false" customHeight="false" outlineLevel="0" collapsed="false">
      <c r="A557" s="6" t="s">
        <v>133</v>
      </c>
      <c r="B557" s="6" t="s">
        <v>120</v>
      </c>
      <c r="C557" s="6" t="n">
        <v>30</v>
      </c>
      <c r="D557" s="6" t="s">
        <v>26</v>
      </c>
      <c r="E557" s="6" t="n">
        <v>33.4</v>
      </c>
      <c r="F557" s="6" t="n">
        <v>99.7</v>
      </c>
      <c r="G557" s="6" t="s">
        <v>127</v>
      </c>
    </row>
    <row r="558" customFormat="false" ht="15" hidden="false" customHeight="false" outlineLevel="0" collapsed="false">
      <c r="A558" s="6" t="s">
        <v>133</v>
      </c>
      <c r="B558" s="6" t="s">
        <v>120</v>
      </c>
      <c r="C558" s="6" t="n">
        <v>30</v>
      </c>
      <c r="D558" s="6" t="s">
        <v>27</v>
      </c>
      <c r="E558" s="6" t="n">
        <v>34.9</v>
      </c>
      <c r="F558" s="6" t="n">
        <v>99.9</v>
      </c>
      <c r="G558" s="6" t="s">
        <v>127</v>
      </c>
    </row>
    <row r="559" customFormat="false" ht="15" hidden="false" customHeight="false" outlineLevel="0" collapsed="false">
      <c r="A559" s="6" t="s">
        <v>133</v>
      </c>
      <c r="B559" s="6" t="s">
        <v>120</v>
      </c>
      <c r="C559" s="6" t="n">
        <v>30</v>
      </c>
      <c r="D559" s="6" t="s">
        <v>28</v>
      </c>
      <c r="E559" s="6" t="n">
        <v>32.4</v>
      </c>
      <c r="F559" s="6" t="n">
        <v>97.8</v>
      </c>
      <c r="G559" s="6" t="s">
        <v>127</v>
      </c>
    </row>
    <row r="560" customFormat="false" ht="15" hidden="false" customHeight="false" outlineLevel="0" collapsed="false">
      <c r="A560" s="6" t="s">
        <v>133</v>
      </c>
      <c r="B560" s="6" t="s">
        <v>120</v>
      </c>
      <c r="C560" s="6" t="n">
        <v>30</v>
      </c>
      <c r="D560" s="6" t="s">
        <v>29</v>
      </c>
      <c r="E560" s="6" t="n">
        <v>29</v>
      </c>
      <c r="F560" s="6" t="n">
        <v>97.2</v>
      </c>
      <c r="G560" s="6" t="s">
        <v>127</v>
      </c>
    </row>
    <row r="561" customFormat="false" ht="15" hidden="false" customHeight="false" outlineLevel="0" collapsed="false">
      <c r="A561" s="6" t="s">
        <v>133</v>
      </c>
      <c r="B561" s="6" t="s">
        <v>120</v>
      </c>
      <c r="C561" s="6" t="n">
        <v>30</v>
      </c>
      <c r="D561" s="6" t="s">
        <v>30</v>
      </c>
      <c r="E561" s="6" t="n">
        <v>29.4</v>
      </c>
      <c r="F561" s="6" t="n">
        <v>95.9</v>
      </c>
      <c r="G561" s="6" t="s">
        <v>127</v>
      </c>
    </row>
    <row r="562" customFormat="false" ht="15" hidden="false" customHeight="false" outlineLevel="0" collapsed="false">
      <c r="A562" s="6" t="s">
        <v>133</v>
      </c>
      <c r="B562" s="6" t="s">
        <v>120</v>
      </c>
      <c r="C562" s="6" t="n">
        <v>30</v>
      </c>
      <c r="D562" s="6" t="s">
        <v>31</v>
      </c>
      <c r="E562" s="6" t="n">
        <v>28.8</v>
      </c>
      <c r="F562" s="6" t="n">
        <v>97.5</v>
      </c>
      <c r="G562" s="6" t="s">
        <v>127</v>
      </c>
    </row>
    <row r="563" customFormat="false" ht="15" hidden="false" customHeight="false" outlineLevel="0" collapsed="false">
      <c r="A563" s="6" t="s">
        <v>133</v>
      </c>
      <c r="B563" s="6" t="s">
        <v>120</v>
      </c>
      <c r="C563" s="6" t="n">
        <v>30</v>
      </c>
      <c r="D563" s="6" t="s">
        <v>32</v>
      </c>
      <c r="E563" s="6" t="n">
        <v>28.7</v>
      </c>
      <c r="F563" s="6" t="n">
        <v>96.9</v>
      </c>
      <c r="G563" s="6" t="s">
        <v>127</v>
      </c>
    </row>
    <row r="564" customFormat="false" ht="15" hidden="false" customHeight="false" outlineLevel="0" collapsed="false">
      <c r="A564" s="6" t="s">
        <v>133</v>
      </c>
      <c r="B564" s="6" t="s">
        <v>120</v>
      </c>
      <c r="C564" s="6" t="n">
        <v>30</v>
      </c>
      <c r="D564" s="6" t="s">
        <v>33</v>
      </c>
      <c r="E564" s="6" t="n">
        <v>26.6</v>
      </c>
      <c r="F564" s="6" t="n">
        <v>95.7</v>
      </c>
      <c r="G564" s="6" t="s">
        <v>127</v>
      </c>
    </row>
    <row r="565" customFormat="false" ht="15" hidden="false" customHeight="false" outlineLevel="0" collapsed="false">
      <c r="A565" s="6" t="s">
        <v>133</v>
      </c>
      <c r="B565" s="6" t="s">
        <v>120</v>
      </c>
      <c r="C565" s="6" t="n">
        <v>30</v>
      </c>
      <c r="D565" s="6" t="s">
        <v>34</v>
      </c>
      <c r="E565" s="6" t="n">
        <v>31</v>
      </c>
      <c r="F565" s="6" t="n">
        <v>97.4</v>
      </c>
      <c r="G565" s="6" t="s">
        <v>127</v>
      </c>
    </row>
    <row r="566" customFormat="false" ht="15" hidden="false" customHeight="false" outlineLevel="0" collapsed="false">
      <c r="A566" s="6" t="s">
        <v>133</v>
      </c>
      <c r="B566" s="6" t="s">
        <v>120</v>
      </c>
      <c r="C566" s="6" t="n">
        <v>30</v>
      </c>
      <c r="D566" s="6" t="s">
        <v>35</v>
      </c>
      <c r="E566" s="6" t="n">
        <v>28.5</v>
      </c>
      <c r="F566" s="6" t="n">
        <v>96.2</v>
      </c>
      <c r="G566" s="6" t="s">
        <v>127</v>
      </c>
    </row>
    <row r="567" customFormat="false" ht="15" hidden="false" customHeight="false" outlineLevel="0" collapsed="false">
      <c r="A567" s="6" t="s">
        <v>133</v>
      </c>
      <c r="B567" s="6" t="s">
        <v>120</v>
      </c>
      <c r="C567" s="6" t="n">
        <v>30</v>
      </c>
      <c r="D567" s="6" t="s">
        <v>36</v>
      </c>
      <c r="E567" s="6" t="n">
        <v>30.5</v>
      </c>
      <c r="F567" s="6" t="n">
        <v>95.3</v>
      </c>
      <c r="G567" s="6" t="s">
        <v>127</v>
      </c>
    </row>
    <row r="568" customFormat="false" ht="15" hidden="false" customHeight="false" outlineLevel="0" collapsed="false">
      <c r="A568" s="6" t="s">
        <v>133</v>
      </c>
      <c r="B568" s="6" t="s">
        <v>120</v>
      </c>
      <c r="C568" s="6" t="n">
        <v>30</v>
      </c>
      <c r="D568" s="6" t="s">
        <v>37</v>
      </c>
      <c r="E568" s="6" t="n">
        <v>29.4</v>
      </c>
      <c r="F568" s="6" t="n">
        <v>95.5</v>
      </c>
      <c r="G568" s="6" t="s">
        <v>127</v>
      </c>
    </row>
    <row r="569" customFormat="false" ht="15" hidden="false" customHeight="false" outlineLevel="0" collapsed="false">
      <c r="A569" s="6" t="s">
        <v>133</v>
      </c>
      <c r="B569" s="6" t="s">
        <v>120</v>
      </c>
      <c r="C569" s="6" t="n">
        <v>30</v>
      </c>
      <c r="D569" s="6" t="s">
        <v>38</v>
      </c>
      <c r="E569" s="6" t="n">
        <v>28.8</v>
      </c>
      <c r="F569" s="6" t="n">
        <v>96.9</v>
      </c>
      <c r="G569" s="6" t="s">
        <v>127</v>
      </c>
    </row>
    <row r="570" customFormat="false" ht="15" hidden="false" customHeight="false" outlineLevel="0" collapsed="false">
      <c r="A570" s="6" t="s">
        <v>133</v>
      </c>
      <c r="B570" s="6" t="s">
        <v>120</v>
      </c>
      <c r="C570" s="6" t="n">
        <v>30</v>
      </c>
      <c r="D570" s="6" t="s">
        <v>39</v>
      </c>
      <c r="E570" s="6" t="n">
        <v>37.6</v>
      </c>
      <c r="F570" s="6" t="n">
        <v>96.1</v>
      </c>
      <c r="G570" s="6" t="s">
        <v>127</v>
      </c>
    </row>
    <row r="571" customFormat="false" ht="15" hidden="false" customHeight="false" outlineLevel="0" collapsed="false">
      <c r="A571" s="6" t="s">
        <v>133</v>
      </c>
      <c r="B571" s="6" t="s">
        <v>120</v>
      </c>
      <c r="C571" s="6" t="n">
        <v>30</v>
      </c>
      <c r="D571" s="6" t="s">
        <v>40</v>
      </c>
      <c r="E571" s="6" t="n">
        <v>30.5</v>
      </c>
      <c r="F571" s="6" t="n">
        <v>95.1</v>
      </c>
      <c r="G571" s="6" t="s">
        <v>127</v>
      </c>
    </row>
    <row r="572" customFormat="false" ht="15" hidden="false" customHeight="false" outlineLevel="0" collapsed="false">
      <c r="A572" s="6" t="s">
        <v>133</v>
      </c>
      <c r="B572" s="6" t="s">
        <v>120</v>
      </c>
      <c r="C572" s="6" t="n">
        <v>30</v>
      </c>
      <c r="D572" s="6" t="s">
        <v>41</v>
      </c>
      <c r="E572" s="6" t="n">
        <v>31.4</v>
      </c>
      <c r="F572" s="6" t="n">
        <v>95.6</v>
      </c>
      <c r="G572" s="6" t="s">
        <v>127</v>
      </c>
    </row>
    <row r="573" customFormat="false" ht="15" hidden="false" customHeight="false" outlineLevel="0" collapsed="false">
      <c r="A573" s="6" t="s">
        <v>133</v>
      </c>
      <c r="B573" s="6" t="s">
        <v>120</v>
      </c>
      <c r="C573" s="6" t="n">
        <v>30</v>
      </c>
      <c r="D573" s="6" t="s">
        <v>42</v>
      </c>
      <c r="E573" s="6" t="n">
        <v>26.6</v>
      </c>
      <c r="F573" s="6" t="n">
        <v>93.5</v>
      </c>
      <c r="G573" s="6" t="s">
        <v>127</v>
      </c>
    </row>
    <row r="574" customFormat="false" ht="15" hidden="false" customHeight="false" outlineLevel="0" collapsed="false">
      <c r="A574" s="6" t="s">
        <v>133</v>
      </c>
      <c r="B574" s="6" t="s">
        <v>120</v>
      </c>
      <c r="C574" s="6" t="n">
        <v>30</v>
      </c>
      <c r="D574" s="6" t="s">
        <v>43</v>
      </c>
      <c r="E574" s="6" t="n">
        <v>28.2</v>
      </c>
      <c r="F574" s="6" t="n">
        <v>94.5</v>
      </c>
      <c r="G574" s="6" t="s">
        <v>127</v>
      </c>
    </row>
    <row r="575" customFormat="false" ht="15" hidden="false" customHeight="false" outlineLevel="0" collapsed="false">
      <c r="A575" s="6" t="s">
        <v>133</v>
      </c>
      <c r="B575" s="6" t="s">
        <v>120</v>
      </c>
      <c r="C575" s="6" t="n">
        <v>30</v>
      </c>
      <c r="D575" s="6" t="s">
        <v>44</v>
      </c>
      <c r="E575" s="6" t="n">
        <v>35.7</v>
      </c>
      <c r="F575" s="6" t="n">
        <v>94.3</v>
      </c>
      <c r="G575" s="6" t="s">
        <v>127</v>
      </c>
    </row>
    <row r="576" customFormat="false" ht="15" hidden="false" customHeight="false" outlineLevel="0" collapsed="false">
      <c r="A576" s="6" t="s">
        <v>133</v>
      </c>
      <c r="B576" s="6" t="s">
        <v>120</v>
      </c>
      <c r="C576" s="6" t="n">
        <v>30</v>
      </c>
      <c r="D576" s="6" t="s">
        <v>45</v>
      </c>
      <c r="E576" s="6" t="n">
        <v>36</v>
      </c>
      <c r="F576" s="6" t="n">
        <v>93.4</v>
      </c>
      <c r="G576" s="6" t="s">
        <v>127</v>
      </c>
    </row>
    <row r="577" customFormat="false" ht="15" hidden="false" customHeight="false" outlineLevel="0" collapsed="false">
      <c r="A577" s="6" t="s">
        <v>133</v>
      </c>
      <c r="B577" s="6" t="s">
        <v>120</v>
      </c>
      <c r="C577" s="6" t="n">
        <v>30</v>
      </c>
      <c r="D577" s="6" t="s">
        <v>46</v>
      </c>
      <c r="E577" s="6" t="n">
        <v>38.7</v>
      </c>
      <c r="F577" s="6" t="n">
        <v>94</v>
      </c>
      <c r="G577" s="6" t="s">
        <v>127</v>
      </c>
    </row>
    <row r="578" customFormat="false" ht="15" hidden="false" customHeight="false" outlineLevel="0" collapsed="false">
      <c r="A578" s="6" t="s">
        <v>133</v>
      </c>
      <c r="B578" s="6" t="s">
        <v>120</v>
      </c>
      <c r="C578" s="6" t="n">
        <v>30</v>
      </c>
      <c r="D578" s="6" t="s">
        <v>47</v>
      </c>
      <c r="E578" s="6" t="n">
        <v>34.4</v>
      </c>
      <c r="F578" s="6" t="n">
        <v>92.5</v>
      </c>
      <c r="G578" s="6" t="s">
        <v>127</v>
      </c>
    </row>
    <row r="579" customFormat="false" ht="15" hidden="false" customHeight="false" outlineLevel="0" collapsed="false">
      <c r="A579" s="6" t="s">
        <v>133</v>
      </c>
      <c r="B579" s="6" t="s">
        <v>120</v>
      </c>
      <c r="C579" s="6" t="n">
        <v>30</v>
      </c>
      <c r="D579" s="6" t="s">
        <v>48</v>
      </c>
      <c r="E579" s="6" t="n">
        <v>37.8</v>
      </c>
      <c r="F579" s="6" t="n">
        <v>93.5</v>
      </c>
      <c r="G579" s="6" t="s">
        <v>127</v>
      </c>
    </row>
    <row r="580" customFormat="false" ht="15" hidden="false" customHeight="false" outlineLevel="0" collapsed="false">
      <c r="A580" s="6" t="s">
        <v>133</v>
      </c>
      <c r="B580" s="6" t="s">
        <v>120</v>
      </c>
      <c r="C580" s="6" t="n">
        <v>30</v>
      </c>
      <c r="D580" s="6" t="s">
        <v>49</v>
      </c>
      <c r="E580" s="6" t="n">
        <v>33.8</v>
      </c>
      <c r="F580" s="6" t="n">
        <v>93.3</v>
      </c>
      <c r="G580" s="6" t="s">
        <v>127</v>
      </c>
    </row>
    <row r="581" customFormat="false" ht="15" hidden="false" customHeight="false" outlineLevel="0" collapsed="false">
      <c r="A581" s="6" t="s">
        <v>133</v>
      </c>
      <c r="B581" s="6" t="s">
        <v>120</v>
      </c>
      <c r="C581" s="6" t="n">
        <v>30</v>
      </c>
      <c r="D581" s="6" t="s">
        <v>50</v>
      </c>
      <c r="E581" s="6" t="n">
        <v>27.4</v>
      </c>
      <c r="F581" s="6" t="n">
        <v>89.6</v>
      </c>
      <c r="G581" s="6" t="s">
        <v>127</v>
      </c>
    </row>
    <row r="582" customFormat="false" ht="15" hidden="false" customHeight="false" outlineLevel="0" collapsed="false">
      <c r="A582" s="6" t="s">
        <v>133</v>
      </c>
      <c r="B582" s="6" t="s">
        <v>120</v>
      </c>
      <c r="C582" s="6" t="n">
        <v>30</v>
      </c>
      <c r="D582" s="6" t="s">
        <v>51</v>
      </c>
      <c r="E582" s="6" t="n">
        <v>26.9</v>
      </c>
      <c r="F582" s="6" t="n">
        <v>93.4</v>
      </c>
      <c r="G582" s="6" t="s">
        <v>127</v>
      </c>
    </row>
    <row r="583" customFormat="false" ht="15" hidden="false" customHeight="false" outlineLevel="0" collapsed="false">
      <c r="A583" s="6" t="s">
        <v>133</v>
      </c>
      <c r="B583" s="6" t="s">
        <v>120</v>
      </c>
      <c r="C583" s="6" t="n">
        <v>30</v>
      </c>
      <c r="D583" s="6" t="s">
        <v>52</v>
      </c>
      <c r="E583" s="6" t="n">
        <v>28.7</v>
      </c>
      <c r="F583" s="6" t="n">
        <v>88.9</v>
      </c>
      <c r="G583" s="6" t="s">
        <v>127</v>
      </c>
    </row>
    <row r="584" customFormat="false" ht="15" hidden="false" customHeight="false" outlineLevel="0" collapsed="false">
      <c r="A584" s="6" t="s">
        <v>133</v>
      </c>
      <c r="B584" s="6" t="s">
        <v>120</v>
      </c>
      <c r="C584" s="6" t="n">
        <v>30</v>
      </c>
      <c r="D584" s="6" t="s">
        <v>53</v>
      </c>
      <c r="E584" s="6" t="n">
        <v>27.6</v>
      </c>
      <c r="F584" s="6" t="n">
        <v>91</v>
      </c>
      <c r="G584" s="6" t="s">
        <v>127</v>
      </c>
    </row>
    <row r="585" customFormat="false" ht="15" hidden="false" customHeight="false" outlineLevel="0" collapsed="false">
      <c r="A585" s="6" t="s">
        <v>133</v>
      </c>
      <c r="B585" s="6" t="s">
        <v>120</v>
      </c>
      <c r="C585" s="6" t="n">
        <v>30</v>
      </c>
      <c r="D585" s="6" t="s">
        <v>54</v>
      </c>
      <c r="E585" s="6" t="n">
        <v>28</v>
      </c>
      <c r="F585" s="6" t="n">
        <v>92.4</v>
      </c>
      <c r="G585" s="6" t="s">
        <v>127</v>
      </c>
    </row>
    <row r="586" customFormat="false" ht="15" hidden="false" customHeight="false" outlineLevel="0" collapsed="false">
      <c r="A586" s="6" t="s">
        <v>133</v>
      </c>
      <c r="B586" s="6" t="s">
        <v>120</v>
      </c>
      <c r="C586" s="6" t="n">
        <v>30</v>
      </c>
      <c r="D586" s="6" t="s">
        <v>55</v>
      </c>
      <c r="E586" s="6" t="n">
        <v>32.4</v>
      </c>
      <c r="F586" s="6" t="n">
        <v>90.8</v>
      </c>
      <c r="G586" s="6" t="s">
        <v>127</v>
      </c>
    </row>
    <row r="587" customFormat="false" ht="15" hidden="false" customHeight="false" outlineLevel="0" collapsed="false">
      <c r="A587" s="6" t="s">
        <v>133</v>
      </c>
      <c r="B587" s="6" t="s">
        <v>120</v>
      </c>
      <c r="C587" s="6" t="n">
        <v>30</v>
      </c>
      <c r="D587" s="6" t="s">
        <v>56</v>
      </c>
      <c r="E587" s="6" t="n">
        <v>44.6</v>
      </c>
      <c r="F587" s="6" t="n">
        <v>89.3</v>
      </c>
      <c r="G587" s="6" t="s">
        <v>127</v>
      </c>
    </row>
    <row r="588" customFormat="false" ht="15" hidden="false" customHeight="false" outlineLevel="0" collapsed="false">
      <c r="A588" s="6" t="s">
        <v>133</v>
      </c>
      <c r="B588" s="6" t="s">
        <v>120</v>
      </c>
      <c r="C588" s="6" t="n">
        <v>30</v>
      </c>
      <c r="D588" s="6" t="s">
        <v>57</v>
      </c>
      <c r="E588" s="6" t="n">
        <v>42.8</v>
      </c>
      <c r="F588" s="6" t="n">
        <v>89.4</v>
      </c>
      <c r="G588" s="6" t="s">
        <v>127</v>
      </c>
    </row>
    <row r="589" customFormat="false" ht="15" hidden="false" customHeight="false" outlineLevel="0" collapsed="false">
      <c r="A589" s="6" t="s">
        <v>133</v>
      </c>
      <c r="B589" s="6" t="s">
        <v>120</v>
      </c>
      <c r="C589" s="6" t="n">
        <v>30</v>
      </c>
      <c r="D589" s="6" t="s">
        <v>58</v>
      </c>
      <c r="E589" s="6" t="n">
        <v>35.6</v>
      </c>
      <c r="F589" s="6" t="n">
        <v>91.3</v>
      </c>
      <c r="G589" s="6" t="s">
        <v>127</v>
      </c>
    </row>
    <row r="590" customFormat="false" ht="15" hidden="false" customHeight="false" outlineLevel="0" collapsed="false">
      <c r="A590" s="6" t="s">
        <v>133</v>
      </c>
      <c r="B590" s="6" t="s">
        <v>120</v>
      </c>
      <c r="C590" s="6" t="n">
        <v>30</v>
      </c>
      <c r="D590" s="6" t="s">
        <v>59</v>
      </c>
      <c r="E590" s="6" t="n">
        <v>24.7</v>
      </c>
      <c r="F590" s="6" t="n">
        <v>88</v>
      </c>
      <c r="G590" s="6" t="s">
        <v>127</v>
      </c>
    </row>
    <row r="591" customFormat="false" ht="15" hidden="false" customHeight="false" outlineLevel="0" collapsed="false">
      <c r="A591" s="6" t="s">
        <v>133</v>
      </c>
      <c r="B591" s="6" t="s">
        <v>120</v>
      </c>
      <c r="C591" s="6" t="n">
        <v>30</v>
      </c>
      <c r="D591" s="6" t="s">
        <v>60</v>
      </c>
      <c r="E591" s="6" t="n">
        <v>27.9</v>
      </c>
      <c r="F591" s="6" t="n">
        <v>90.8</v>
      </c>
      <c r="G591" s="6" t="s">
        <v>127</v>
      </c>
    </row>
    <row r="592" customFormat="false" ht="15" hidden="false" customHeight="false" outlineLevel="0" collapsed="false">
      <c r="A592" s="6" t="s">
        <v>133</v>
      </c>
      <c r="B592" s="6" t="s">
        <v>120</v>
      </c>
      <c r="C592" s="6" t="n">
        <v>30</v>
      </c>
      <c r="D592" s="6" t="s">
        <v>61</v>
      </c>
      <c r="E592" s="6" t="n">
        <v>27.2</v>
      </c>
      <c r="F592" s="6" t="n">
        <v>89.4</v>
      </c>
      <c r="G592" s="6" t="s">
        <v>127</v>
      </c>
    </row>
    <row r="593" customFormat="false" ht="15" hidden="false" customHeight="false" outlineLevel="0" collapsed="false">
      <c r="A593" s="6" t="s">
        <v>133</v>
      </c>
      <c r="B593" s="6" t="s">
        <v>120</v>
      </c>
      <c r="C593" s="6" t="n">
        <v>30</v>
      </c>
      <c r="D593" s="6" t="s">
        <v>62</v>
      </c>
      <c r="E593" s="6" t="n">
        <v>29.6</v>
      </c>
      <c r="F593" s="6" t="n">
        <v>87.9</v>
      </c>
      <c r="G593" s="6" t="s">
        <v>127</v>
      </c>
    </row>
    <row r="594" customFormat="false" ht="15" hidden="false" customHeight="false" outlineLevel="0" collapsed="false">
      <c r="A594" s="6" t="s">
        <v>133</v>
      </c>
      <c r="B594" s="6" t="s">
        <v>120</v>
      </c>
      <c r="C594" s="6" t="n">
        <v>30</v>
      </c>
      <c r="D594" s="6" t="s">
        <v>63</v>
      </c>
      <c r="E594" s="6" t="n">
        <v>29.5</v>
      </c>
      <c r="F594" s="6" t="n">
        <v>88.3</v>
      </c>
      <c r="G594" s="6" t="s">
        <v>127</v>
      </c>
    </row>
    <row r="595" customFormat="false" ht="15" hidden="false" customHeight="false" outlineLevel="0" collapsed="false">
      <c r="A595" s="6" t="s">
        <v>133</v>
      </c>
      <c r="B595" s="6" t="s">
        <v>120</v>
      </c>
      <c r="C595" s="6" t="n">
        <v>30</v>
      </c>
      <c r="D595" s="6" t="s">
        <v>64</v>
      </c>
      <c r="E595" s="6" t="n">
        <v>31.8</v>
      </c>
      <c r="F595" s="6" t="n">
        <v>87.6</v>
      </c>
      <c r="G595" s="6" t="s">
        <v>127</v>
      </c>
    </row>
    <row r="596" customFormat="false" ht="15" hidden="false" customHeight="false" outlineLevel="0" collapsed="false">
      <c r="A596" s="6" t="s">
        <v>133</v>
      </c>
      <c r="B596" s="6" t="s">
        <v>120</v>
      </c>
      <c r="C596" s="6" t="n">
        <v>30</v>
      </c>
      <c r="D596" s="6" t="s">
        <v>65</v>
      </c>
      <c r="E596" s="6" t="n">
        <v>28.4</v>
      </c>
      <c r="F596" s="6" t="n">
        <v>89.2</v>
      </c>
      <c r="G596" s="6" t="s">
        <v>127</v>
      </c>
    </row>
    <row r="597" customFormat="false" ht="15" hidden="false" customHeight="false" outlineLevel="0" collapsed="false">
      <c r="A597" s="6" t="s">
        <v>133</v>
      </c>
      <c r="B597" s="6" t="s">
        <v>120</v>
      </c>
      <c r="C597" s="6" t="n">
        <v>30</v>
      </c>
      <c r="D597" s="6" t="s">
        <v>66</v>
      </c>
      <c r="E597" s="6" t="n">
        <v>28.3</v>
      </c>
      <c r="F597" s="6" t="n">
        <v>88.7</v>
      </c>
      <c r="G597" s="6" t="s">
        <v>127</v>
      </c>
    </row>
    <row r="598" customFormat="false" ht="15" hidden="false" customHeight="false" outlineLevel="0" collapsed="false">
      <c r="A598" s="6" t="s">
        <v>133</v>
      </c>
      <c r="B598" s="6" t="s">
        <v>120</v>
      </c>
      <c r="C598" s="6" t="n">
        <v>30</v>
      </c>
      <c r="D598" s="6" t="s">
        <v>67</v>
      </c>
      <c r="E598" s="6" t="n">
        <v>24.9</v>
      </c>
      <c r="F598" s="6" t="n">
        <v>86</v>
      </c>
      <c r="G598" s="6" t="s">
        <v>127</v>
      </c>
    </row>
    <row r="599" customFormat="false" ht="15" hidden="false" customHeight="false" outlineLevel="0" collapsed="false">
      <c r="A599" s="6" t="s">
        <v>133</v>
      </c>
      <c r="B599" s="6" t="s">
        <v>120</v>
      </c>
      <c r="C599" s="6" t="n">
        <v>30</v>
      </c>
      <c r="D599" s="6" t="s">
        <v>68</v>
      </c>
      <c r="E599" s="6" t="n">
        <v>32.6</v>
      </c>
      <c r="F599" s="6" t="n">
        <v>87.1</v>
      </c>
      <c r="G599" s="6" t="s">
        <v>127</v>
      </c>
    </row>
    <row r="600" customFormat="false" ht="15" hidden="false" customHeight="false" outlineLevel="0" collapsed="false">
      <c r="A600" s="6" t="s">
        <v>133</v>
      </c>
      <c r="B600" s="6" t="s">
        <v>120</v>
      </c>
      <c r="C600" s="6" t="n">
        <v>30</v>
      </c>
      <c r="D600" s="6" t="s">
        <v>69</v>
      </c>
      <c r="E600" s="6" t="n">
        <v>31.8</v>
      </c>
      <c r="F600" s="6" t="n">
        <v>86.3</v>
      </c>
      <c r="G600" s="6" t="s">
        <v>127</v>
      </c>
    </row>
    <row r="601" customFormat="false" ht="15" hidden="false" customHeight="false" outlineLevel="0" collapsed="false">
      <c r="A601" s="6" t="s">
        <v>133</v>
      </c>
      <c r="B601" s="6" t="s">
        <v>120</v>
      </c>
      <c r="C601" s="6" t="n">
        <v>30</v>
      </c>
      <c r="D601" s="6" t="s">
        <v>70</v>
      </c>
      <c r="E601" s="6" t="n">
        <v>32.4</v>
      </c>
      <c r="F601" s="6" t="n">
        <v>88.2</v>
      </c>
      <c r="G601" s="6" t="s">
        <v>127</v>
      </c>
    </row>
    <row r="602" customFormat="false" ht="15" hidden="false" customHeight="false" outlineLevel="0" collapsed="false">
      <c r="A602" s="6" t="s">
        <v>133</v>
      </c>
      <c r="B602" s="6" t="s">
        <v>120</v>
      </c>
      <c r="C602" s="6" t="n">
        <v>30</v>
      </c>
      <c r="D602" s="6" t="s">
        <v>71</v>
      </c>
      <c r="E602" s="6" t="n">
        <v>26.6</v>
      </c>
      <c r="F602" s="6" t="n">
        <v>85.3</v>
      </c>
      <c r="G602" s="6" t="s">
        <v>127</v>
      </c>
    </row>
    <row r="603" customFormat="false" ht="15" hidden="false" customHeight="false" outlineLevel="0" collapsed="false">
      <c r="A603" s="6" t="s">
        <v>133</v>
      </c>
      <c r="B603" s="6" t="s">
        <v>120</v>
      </c>
      <c r="C603" s="6" t="n">
        <v>30</v>
      </c>
      <c r="D603" s="6" t="s">
        <v>72</v>
      </c>
      <c r="E603" s="6" t="n">
        <v>36.6</v>
      </c>
      <c r="F603" s="6" t="n">
        <v>87.9</v>
      </c>
      <c r="G603" s="6" t="s">
        <v>127</v>
      </c>
    </row>
    <row r="604" customFormat="false" ht="15" hidden="false" customHeight="false" outlineLevel="0" collapsed="false">
      <c r="A604" s="6" t="s">
        <v>133</v>
      </c>
      <c r="B604" s="6" t="s">
        <v>120</v>
      </c>
      <c r="C604" s="6" t="n">
        <v>30</v>
      </c>
      <c r="D604" s="6" t="s">
        <v>73</v>
      </c>
      <c r="E604" s="6" t="n">
        <v>33.4</v>
      </c>
      <c r="F604" s="6" t="n">
        <v>86</v>
      </c>
      <c r="G604" s="6" t="s">
        <v>127</v>
      </c>
    </row>
    <row r="605" customFormat="false" ht="15" hidden="false" customHeight="false" outlineLevel="0" collapsed="false">
      <c r="A605" s="6" t="s">
        <v>133</v>
      </c>
      <c r="B605" s="6" t="s">
        <v>120</v>
      </c>
      <c r="C605" s="6" t="n">
        <v>30</v>
      </c>
      <c r="D605" s="6" t="s">
        <v>74</v>
      </c>
      <c r="E605" s="6" t="n">
        <v>36.2</v>
      </c>
      <c r="F605" s="6" t="n">
        <v>84.6</v>
      </c>
      <c r="G605" s="6" t="s">
        <v>127</v>
      </c>
    </row>
    <row r="606" customFormat="false" ht="15" hidden="false" customHeight="false" outlineLevel="0" collapsed="false">
      <c r="A606" s="6" t="s">
        <v>133</v>
      </c>
      <c r="B606" s="6" t="s">
        <v>120</v>
      </c>
      <c r="C606" s="6" t="n">
        <v>30</v>
      </c>
      <c r="D606" s="6" t="s">
        <v>75</v>
      </c>
      <c r="E606" s="6" t="n">
        <v>23.1</v>
      </c>
      <c r="F606" s="6" t="n">
        <v>84.8</v>
      </c>
      <c r="G606" s="6" t="s">
        <v>127</v>
      </c>
    </row>
    <row r="607" customFormat="false" ht="15" hidden="false" customHeight="false" outlineLevel="0" collapsed="false">
      <c r="A607" s="6" t="s">
        <v>133</v>
      </c>
      <c r="B607" s="6" t="s">
        <v>120</v>
      </c>
      <c r="C607" s="6" t="n">
        <v>30</v>
      </c>
      <c r="D607" s="6" t="s">
        <v>76</v>
      </c>
      <c r="E607" s="6" t="n">
        <v>31.5</v>
      </c>
      <c r="F607" s="6" t="n">
        <v>84.4</v>
      </c>
      <c r="G607" s="6" t="s">
        <v>127</v>
      </c>
    </row>
    <row r="608" customFormat="false" ht="15" hidden="false" customHeight="false" outlineLevel="0" collapsed="false">
      <c r="A608" s="6" t="s">
        <v>133</v>
      </c>
      <c r="B608" s="6" t="s">
        <v>120</v>
      </c>
      <c r="C608" s="6" t="n">
        <v>30</v>
      </c>
      <c r="D608" s="6" t="s">
        <v>77</v>
      </c>
      <c r="E608" s="6" t="n">
        <v>31.8</v>
      </c>
      <c r="F608" s="6" t="n">
        <v>83.7</v>
      </c>
      <c r="G608" s="6" t="s">
        <v>127</v>
      </c>
    </row>
    <row r="609" customFormat="false" ht="15" hidden="false" customHeight="false" outlineLevel="0" collapsed="false">
      <c r="A609" s="6" t="s">
        <v>133</v>
      </c>
      <c r="B609" s="6" t="s">
        <v>120</v>
      </c>
      <c r="C609" s="6" t="n">
        <v>30</v>
      </c>
      <c r="D609" s="6" t="s">
        <v>78</v>
      </c>
      <c r="E609" s="6" t="n">
        <v>32.8</v>
      </c>
      <c r="F609" s="6" t="n">
        <v>84.8</v>
      </c>
      <c r="G609" s="6" t="s">
        <v>127</v>
      </c>
    </row>
    <row r="610" customFormat="false" ht="15" hidden="false" customHeight="false" outlineLevel="0" collapsed="false">
      <c r="A610" s="6" t="s">
        <v>133</v>
      </c>
      <c r="B610" s="6" t="s">
        <v>120</v>
      </c>
      <c r="C610" s="6" t="n">
        <v>30</v>
      </c>
      <c r="D610" s="6" t="s">
        <v>79</v>
      </c>
      <c r="E610" s="6" t="n">
        <v>29.5</v>
      </c>
      <c r="F610" s="6" t="n">
        <v>83.2</v>
      </c>
      <c r="G610" s="6" t="s">
        <v>127</v>
      </c>
    </row>
    <row r="611" customFormat="false" ht="15" hidden="false" customHeight="false" outlineLevel="0" collapsed="false">
      <c r="A611" s="6" t="s">
        <v>133</v>
      </c>
      <c r="B611" s="6" t="s">
        <v>120</v>
      </c>
      <c r="C611" s="6" t="n">
        <v>30</v>
      </c>
      <c r="D611" s="6" t="s">
        <v>80</v>
      </c>
      <c r="E611" s="6" t="n">
        <v>23.5</v>
      </c>
      <c r="F611" s="6" t="n">
        <v>81.9</v>
      </c>
      <c r="G611" s="6" t="s">
        <v>127</v>
      </c>
    </row>
    <row r="612" customFormat="false" ht="15" hidden="false" customHeight="false" outlineLevel="0" collapsed="false">
      <c r="A612" s="6" t="s">
        <v>133</v>
      </c>
      <c r="B612" s="6" t="s">
        <v>120</v>
      </c>
      <c r="C612" s="6" t="n">
        <v>30</v>
      </c>
      <c r="D612" s="6" t="s">
        <v>81</v>
      </c>
      <c r="E612" s="6" t="n">
        <v>28.8</v>
      </c>
      <c r="F612" s="6" t="n">
        <v>83.4</v>
      </c>
      <c r="G612" s="6" t="s">
        <v>127</v>
      </c>
    </row>
    <row r="613" customFormat="false" ht="15" hidden="false" customHeight="false" outlineLevel="0" collapsed="false">
      <c r="A613" s="6" t="s">
        <v>133</v>
      </c>
      <c r="B613" s="6" t="s">
        <v>120</v>
      </c>
      <c r="C613" s="6" t="n">
        <v>30</v>
      </c>
      <c r="D613" s="6" t="s">
        <v>82</v>
      </c>
      <c r="E613" s="6" t="n">
        <v>30.6</v>
      </c>
      <c r="F613" s="6" t="n">
        <v>81.7</v>
      </c>
      <c r="G613" s="6" t="s">
        <v>127</v>
      </c>
    </row>
    <row r="614" customFormat="false" ht="15" hidden="false" customHeight="false" outlineLevel="0" collapsed="false">
      <c r="A614" s="6" t="s">
        <v>133</v>
      </c>
      <c r="B614" s="6" t="s">
        <v>120</v>
      </c>
      <c r="C614" s="6" t="n">
        <v>30</v>
      </c>
      <c r="D614" s="6" t="s">
        <v>83</v>
      </c>
      <c r="E614" s="6" t="n">
        <v>35</v>
      </c>
      <c r="F614" s="6" t="n">
        <v>82.5</v>
      </c>
      <c r="G614" s="6" t="s">
        <v>127</v>
      </c>
    </row>
    <row r="615" customFormat="false" ht="15" hidden="false" customHeight="false" outlineLevel="0" collapsed="false">
      <c r="A615" s="6" t="s">
        <v>133</v>
      </c>
      <c r="B615" s="6" t="s">
        <v>120</v>
      </c>
      <c r="C615" s="6" t="n">
        <v>30</v>
      </c>
      <c r="D615" s="6" t="s">
        <v>84</v>
      </c>
      <c r="E615" s="6" t="n">
        <v>33.7</v>
      </c>
      <c r="F615" s="6" t="n">
        <v>82.1</v>
      </c>
      <c r="G615" s="6" t="s">
        <v>127</v>
      </c>
    </row>
    <row r="616" customFormat="false" ht="15" hidden="false" customHeight="false" outlineLevel="0" collapsed="false">
      <c r="A616" s="6" t="s">
        <v>133</v>
      </c>
      <c r="B616" s="6" t="s">
        <v>120</v>
      </c>
      <c r="C616" s="6" t="n">
        <v>30</v>
      </c>
      <c r="D616" s="6" t="s">
        <v>85</v>
      </c>
      <c r="E616" s="6" t="n">
        <v>31.9</v>
      </c>
      <c r="F616" s="6" t="n">
        <v>81.8</v>
      </c>
      <c r="G616" s="6" t="s">
        <v>127</v>
      </c>
    </row>
    <row r="617" customFormat="false" ht="15" hidden="false" customHeight="false" outlineLevel="0" collapsed="false">
      <c r="A617" s="6" t="s">
        <v>133</v>
      </c>
      <c r="B617" s="6" t="s">
        <v>120</v>
      </c>
      <c r="C617" s="6" t="n">
        <v>30</v>
      </c>
      <c r="D617" s="6" t="s">
        <v>86</v>
      </c>
      <c r="E617" s="6" t="n">
        <v>29</v>
      </c>
      <c r="F617" s="6" t="n">
        <v>84.4</v>
      </c>
      <c r="G617" s="6" t="s">
        <v>127</v>
      </c>
    </row>
    <row r="618" customFormat="false" ht="15" hidden="false" customHeight="false" outlineLevel="0" collapsed="false">
      <c r="A618" s="6" t="s">
        <v>133</v>
      </c>
      <c r="B618" s="6" t="s">
        <v>120</v>
      </c>
      <c r="C618" s="6" t="n">
        <v>30</v>
      </c>
      <c r="D618" s="6" t="s">
        <v>87</v>
      </c>
      <c r="E618" s="6" t="n">
        <v>30.8</v>
      </c>
      <c r="F618" s="6" t="n">
        <v>82.2</v>
      </c>
      <c r="G618" s="6" t="s">
        <v>127</v>
      </c>
    </row>
    <row r="619" customFormat="false" ht="15" hidden="false" customHeight="false" outlineLevel="0" collapsed="false">
      <c r="A619" s="6" t="s">
        <v>133</v>
      </c>
      <c r="B619" s="6" t="s">
        <v>120</v>
      </c>
      <c r="C619" s="6" t="n">
        <v>30</v>
      </c>
      <c r="D619" s="6" t="s">
        <v>88</v>
      </c>
      <c r="E619" s="6" t="n">
        <v>34.6</v>
      </c>
      <c r="F619" s="6" t="n">
        <v>82.1</v>
      </c>
      <c r="G619" s="6" t="s">
        <v>127</v>
      </c>
    </row>
    <row r="620" customFormat="false" ht="15" hidden="false" customHeight="false" outlineLevel="0" collapsed="false">
      <c r="A620" s="6" t="s">
        <v>133</v>
      </c>
      <c r="B620" s="6" t="s">
        <v>120</v>
      </c>
      <c r="C620" s="6" t="n">
        <v>30</v>
      </c>
      <c r="D620" s="6" t="s">
        <v>89</v>
      </c>
      <c r="E620" s="6" t="n">
        <v>34</v>
      </c>
      <c r="F620" s="6" t="n">
        <v>79.8</v>
      </c>
      <c r="G620" s="6" t="s">
        <v>127</v>
      </c>
    </row>
    <row r="621" customFormat="false" ht="15" hidden="false" customHeight="false" outlineLevel="0" collapsed="false">
      <c r="A621" s="6" t="s">
        <v>133</v>
      </c>
      <c r="B621" s="6" t="s">
        <v>120</v>
      </c>
      <c r="C621" s="6" t="n">
        <v>30</v>
      </c>
      <c r="D621" s="6" t="s">
        <v>90</v>
      </c>
      <c r="E621" s="6" t="n">
        <v>35.2</v>
      </c>
      <c r="F621" s="6" t="n">
        <v>80.7</v>
      </c>
      <c r="G621" s="6" t="s">
        <v>127</v>
      </c>
    </row>
    <row r="622" customFormat="false" ht="15" hidden="false" customHeight="false" outlineLevel="0" collapsed="false">
      <c r="A622" s="6" t="s">
        <v>133</v>
      </c>
      <c r="B622" s="6" t="s">
        <v>120</v>
      </c>
      <c r="C622" s="6" t="n">
        <v>30</v>
      </c>
      <c r="D622" s="6" t="s">
        <v>91</v>
      </c>
      <c r="E622" s="6" t="n">
        <v>25.3</v>
      </c>
      <c r="F622" s="6" t="n">
        <v>81.3</v>
      </c>
      <c r="G622" s="6" t="s">
        <v>127</v>
      </c>
    </row>
    <row r="623" customFormat="false" ht="15" hidden="false" customHeight="false" outlineLevel="0" collapsed="false">
      <c r="A623" s="6" t="s">
        <v>133</v>
      </c>
      <c r="B623" s="6" t="s">
        <v>120</v>
      </c>
      <c r="C623" s="6" t="n">
        <v>30</v>
      </c>
      <c r="D623" s="6" t="s">
        <v>92</v>
      </c>
      <c r="E623" s="6" t="n">
        <v>34.5</v>
      </c>
      <c r="F623" s="6" t="n">
        <v>79.7</v>
      </c>
      <c r="G623" s="6" t="s">
        <v>127</v>
      </c>
    </row>
    <row r="624" customFormat="false" ht="15" hidden="false" customHeight="false" outlineLevel="0" collapsed="false">
      <c r="A624" s="6" t="s">
        <v>133</v>
      </c>
      <c r="B624" s="6" t="s">
        <v>120</v>
      </c>
      <c r="C624" s="6" t="n">
        <v>30</v>
      </c>
      <c r="D624" s="6" t="s">
        <v>93</v>
      </c>
      <c r="E624" s="6" t="n">
        <v>49.8</v>
      </c>
      <c r="F624" s="6" t="n">
        <v>81.4</v>
      </c>
      <c r="G624" s="6" t="s">
        <v>127</v>
      </c>
    </row>
    <row r="625" customFormat="false" ht="15" hidden="false" customHeight="false" outlineLevel="0" collapsed="false">
      <c r="A625" s="6" t="s">
        <v>133</v>
      </c>
      <c r="B625" s="6" t="s">
        <v>120</v>
      </c>
      <c r="C625" s="6" t="n">
        <v>30</v>
      </c>
      <c r="D625" s="6" t="s">
        <v>94</v>
      </c>
      <c r="E625" s="6" t="n">
        <v>47.5</v>
      </c>
      <c r="F625" s="6" t="n">
        <v>79</v>
      </c>
      <c r="G625" s="6" t="s">
        <v>127</v>
      </c>
    </row>
    <row r="626" customFormat="false" ht="15" hidden="false" customHeight="false" outlineLevel="0" collapsed="false">
      <c r="A626" s="6" t="s">
        <v>133</v>
      </c>
      <c r="B626" s="6" t="s">
        <v>120</v>
      </c>
      <c r="C626" s="6" t="n">
        <v>30</v>
      </c>
      <c r="D626" s="6" t="s">
        <v>95</v>
      </c>
      <c r="E626" s="6" t="n">
        <v>45.3</v>
      </c>
      <c r="F626" s="6" t="n">
        <v>79.6</v>
      </c>
      <c r="G626" s="6" t="s">
        <v>127</v>
      </c>
    </row>
    <row r="627" customFormat="false" ht="15" hidden="false" customHeight="false" outlineLevel="0" collapsed="false">
      <c r="A627" s="6" t="s">
        <v>133</v>
      </c>
      <c r="B627" s="6" t="s">
        <v>120</v>
      </c>
      <c r="C627" s="6" t="n">
        <v>30</v>
      </c>
      <c r="D627" s="6" t="s">
        <v>96</v>
      </c>
      <c r="E627" s="6" t="n">
        <v>28.3</v>
      </c>
      <c r="F627" s="6" t="n">
        <v>79.1</v>
      </c>
      <c r="G627" s="6" t="s">
        <v>127</v>
      </c>
    </row>
    <row r="628" customFormat="false" ht="15" hidden="false" customHeight="false" outlineLevel="0" collapsed="false">
      <c r="A628" s="6" t="s">
        <v>133</v>
      </c>
      <c r="B628" s="6" t="s">
        <v>120</v>
      </c>
      <c r="C628" s="6" t="n">
        <v>30</v>
      </c>
      <c r="D628" s="6" t="s">
        <v>97</v>
      </c>
      <c r="E628" s="6" t="n">
        <v>33.7</v>
      </c>
      <c r="F628" s="6" t="n">
        <v>79.5</v>
      </c>
      <c r="G628" s="6" t="s">
        <v>127</v>
      </c>
    </row>
    <row r="629" customFormat="false" ht="15" hidden="false" customHeight="false" outlineLevel="0" collapsed="false">
      <c r="A629" s="6" t="s">
        <v>133</v>
      </c>
      <c r="B629" s="6" t="s">
        <v>120</v>
      </c>
      <c r="C629" s="6" t="n">
        <v>30</v>
      </c>
      <c r="D629" s="6" t="s">
        <v>98</v>
      </c>
      <c r="E629" s="6" t="n">
        <v>28.9</v>
      </c>
      <c r="F629" s="6" t="n">
        <v>78.4</v>
      </c>
      <c r="G629" s="6" t="s">
        <v>127</v>
      </c>
    </row>
    <row r="630" customFormat="false" ht="15" hidden="false" customHeight="false" outlineLevel="0" collapsed="false">
      <c r="A630" s="6" t="s">
        <v>133</v>
      </c>
      <c r="B630" s="6" t="s">
        <v>120</v>
      </c>
      <c r="C630" s="6" t="n">
        <v>30</v>
      </c>
      <c r="D630" s="6" t="s">
        <v>99</v>
      </c>
      <c r="E630" s="6" t="n">
        <v>31.4</v>
      </c>
      <c r="F630" s="6" t="n">
        <v>78.5</v>
      </c>
      <c r="G630" s="6" t="s">
        <v>127</v>
      </c>
    </row>
    <row r="631" customFormat="false" ht="15" hidden="false" customHeight="false" outlineLevel="0" collapsed="false">
      <c r="A631" s="6" t="s">
        <v>133</v>
      </c>
      <c r="B631" s="6" t="s">
        <v>120</v>
      </c>
      <c r="C631" s="6" t="n">
        <v>30</v>
      </c>
      <c r="D631" s="6" t="s">
        <v>100</v>
      </c>
      <c r="E631" s="6" t="n">
        <v>28.4</v>
      </c>
      <c r="F631" s="6" t="n">
        <v>78.3</v>
      </c>
      <c r="G631" s="6" t="s">
        <v>127</v>
      </c>
    </row>
    <row r="632" customFormat="false" ht="15" hidden="false" customHeight="false" outlineLevel="0" collapsed="false">
      <c r="A632" s="6" t="s">
        <v>133</v>
      </c>
      <c r="B632" s="6" t="s">
        <v>120</v>
      </c>
      <c r="C632" s="6" t="n">
        <v>30</v>
      </c>
      <c r="D632" s="6" t="s">
        <v>101</v>
      </c>
      <c r="E632" s="6" t="n">
        <v>30.3</v>
      </c>
      <c r="F632" s="6" t="n">
        <v>77.5</v>
      </c>
      <c r="G632" s="6" t="s">
        <v>127</v>
      </c>
    </row>
    <row r="633" customFormat="false" ht="15" hidden="false" customHeight="false" outlineLevel="0" collapsed="false">
      <c r="A633" s="6" t="s">
        <v>133</v>
      </c>
      <c r="B633" s="6" t="s">
        <v>120</v>
      </c>
      <c r="C633" s="6" t="n">
        <v>30</v>
      </c>
      <c r="D633" s="6" t="s">
        <v>102</v>
      </c>
      <c r="E633" s="6" t="n">
        <v>30.1</v>
      </c>
      <c r="F633" s="6" t="n">
        <v>78.5</v>
      </c>
      <c r="G633" s="6" t="s">
        <v>127</v>
      </c>
    </row>
    <row r="634" customFormat="false" ht="15" hidden="false" customHeight="false" outlineLevel="0" collapsed="false">
      <c r="A634" s="6" t="s">
        <v>133</v>
      </c>
      <c r="B634" s="6" t="s">
        <v>120</v>
      </c>
      <c r="C634" s="6" t="n">
        <v>30</v>
      </c>
      <c r="D634" s="6" t="s">
        <v>103</v>
      </c>
      <c r="E634" s="6" t="n">
        <v>29.7</v>
      </c>
      <c r="F634" s="6" t="n">
        <v>77.9</v>
      </c>
      <c r="G634" s="6" t="s">
        <v>127</v>
      </c>
    </row>
    <row r="635" customFormat="false" ht="15" hidden="false" customHeight="false" outlineLevel="0" collapsed="false">
      <c r="A635" s="6" t="s">
        <v>133</v>
      </c>
      <c r="B635" s="6" t="s">
        <v>120</v>
      </c>
      <c r="C635" s="6" t="n">
        <v>30</v>
      </c>
      <c r="D635" s="6" t="s">
        <v>104</v>
      </c>
      <c r="E635" s="6" t="n">
        <v>26.3</v>
      </c>
      <c r="F635" s="6" t="n">
        <v>77.3</v>
      </c>
      <c r="G635" s="6" t="s">
        <v>127</v>
      </c>
    </row>
    <row r="636" customFormat="false" ht="15" hidden="false" customHeight="false" outlineLevel="0" collapsed="false">
      <c r="A636" s="6" t="s">
        <v>133</v>
      </c>
      <c r="B636" s="6" t="s">
        <v>120</v>
      </c>
      <c r="C636" s="6" t="n">
        <v>30</v>
      </c>
      <c r="D636" s="6" t="s">
        <v>105</v>
      </c>
      <c r="E636" s="6" t="n">
        <v>26.1</v>
      </c>
      <c r="F636" s="6" t="n">
        <v>76.7</v>
      </c>
      <c r="G636" s="6" t="s">
        <v>127</v>
      </c>
    </row>
    <row r="637" customFormat="false" ht="15" hidden="false" customHeight="false" outlineLevel="0" collapsed="false">
      <c r="A637" s="6" t="s">
        <v>133</v>
      </c>
      <c r="B637" s="6" t="s">
        <v>120</v>
      </c>
      <c r="C637" s="6" t="n">
        <v>30</v>
      </c>
      <c r="D637" s="6" t="s">
        <v>106</v>
      </c>
      <c r="E637" s="6" t="n">
        <v>31</v>
      </c>
      <c r="F637" s="6" t="n">
        <v>77.7</v>
      </c>
      <c r="G637" s="6" t="s">
        <v>127</v>
      </c>
    </row>
    <row r="638" customFormat="false" ht="15" hidden="false" customHeight="false" outlineLevel="0" collapsed="false">
      <c r="A638" s="6" t="s">
        <v>133</v>
      </c>
      <c r="B638" s="6" t="s">
        <v>120</v>
      </c>
      <c r="C638" s="6" t="n">
        <v>30</v>
      </c>
      <c r="D638" s="6" t="s">
        <v>107</v>
      </c>
      <c r="E638" s="6" t="n">
        <v>31.7</v>
      </c>
      <c r="F638" s="6" t="n">
        <v>76.3</v>
      </c>
      <c r="G638" s="6" t="s">
        <v>127</v>
      </c>
    </row>
    <row r="639" customFormat="false" ht="15" hidden="false" customHeight="false" outlineLevel="0" collapsed="false">
      <c r="A639" s="6" t="s">
        <v>133</v>
      </c>
      <c r="B639" s="6" t="s">
        <v>120</v>
      </c>
      <c r="C639" s="6" t="n">
        <v>30</v>
      </c>
      <c r="D639" s="6" t="s">
        <v>108</v>
      </c>
      <c r="E639" s="6" t="n">
        <v>29.8</v>
      </c>
      <c r="F639" s="6" t="n">
        <v>76</v>
      </c>
      <c r="G639" s="6" t="s">
        <v>127</v>
      </c>
    </row>
    <row r="640" customFormat="false" ht="15" hidden="false" customHeight="false" outlineLevel="0" collapsed="false">
      <c r="A640" s="6" t="s">
        <v>133</v>
      </c>
      <c r="B640" s="6" t="s">
        <v>120</v>
      </c>
      <c r="C640" s="6" t="n">
        <v>30</v>
      </c>
      <c r="D640" s="6" t="s">
        <v>109</v>
      </c>
      <c r="E640" s="6" t="n">
        <v>23.7</v>
      </c>
      <c r="F640" s="6" t="n">
        <v>76.1</v>
      </c>
      <c r="G640" s="6" t="s">
        <v>127</v>
      </c>
    </row>
    <row r="641" customFormat="false" ht="15" hidden="false" customHeight="false" outlineLevel="0" collapsed="false">
      <c r="A641" s="6" t="s">
        <v>133</v>
      </c>
      <c r="B641" s="6" t="s">
        <v>120</v>
      </c>
      <c r="C641" s="6" t="n">
        <v>30</v>
      </c>
      <c r="D641" s="6" t="s">
        <v>110</v>
      </c>
      <c r="E641" s="6" t="n">
        <v>28.8</v>
      </c>
      <c r="F641" s="6" t="n">
        <v>77.4</v>
      </c>
      <c r="G641" s="6" t="s">
        <v>127</v>
      </c>
    </row>
    <row r="642" customFormat="false" ht="15" hidden="false" customHeight="false" outlineLevel="0" collapsed="false">
      <c r="A642" s="6" t="s">
        <v>133</v>
      </c>
      <c r="B642" s="6" t="s">
        <v>120</v>
      </c>
      <c r="C642" s="6" t="n">
        <v>30</v>
      </c>
      <c r="D642" s="6" t="s">
        <v>111</v>
      </c>
      <c r="E642" s="6" t="n">
        <v>31.4</v>
      </c>
      <c r="F642" s="6" t="n">
        <v>74.1</v>
      </c>
      <c r="G642" s="6" t="s">
        <v>127</v>
      </c>
    </row>
    <row r="643" customFormat="false" ht="15" hidden="false" customHeight="false" outlineLevel="0" collapsed="false">
      <c r="A643" s="6" t="s">
        <v>133</v>
      </c>
      <c r="B643" s="6" t="s">
        <v>120</v>
      </c>
      <c r="C643" s="6" t="n">
        <v>30</v>
      </c>
      <c r="D643" s="6" t="s">
        <v>112</v>
      </c>
      <c r="E643" s="6" t="n">
        <v>28.8</v>
      </c>
      <c r="F643" s="6" t="n">
        <v>76</v>
      </c>
      <c r="G643" s="6" t="s">
        <v>127</v>
      </c>
    </row>
    <row r="644" customFormat="false" ht="15" hidden="false" customHeight="false" outlineLevel="0" collapsed="false">
      <c r="A644" s="6" t="s">
        <v>133</v>
      </c>
      <c r="B644" s="6" t="s">
        <v>120</v>
      </c>
      <c r="C644" s="6" t="n">
        <v>30</v>
      </c>
      <c r="D644" s="6" t="s">
        <v>113</v>
      </c>
      <c r="E644" s="6" t="n">
        <v>29.2</v>
      </c>
      <c r="F644" s="6" t="n">
        <v>73</v>
      </c>
      <c r="G644" s="6" t="s">
        <v>127</v>
      </c>
    </row>
    <row r="645" customFormat="false" ht="15" hidden="false" customHeight="false" outlineLevel="0" collapsed="false">
      <c r="A645" s="6" t="s">
        <v>133</v>
      </c>
      <c r="B645" s="6" t="s">
        <v>120</v>
      </c>
      <c r="C645" s="6" t="n">
        <v>30</v>
      </c>
      <c r="D645" s="6" t="s">
        <v>114</v>
      </c>
      <c r="E645" s="6" t="n">
        <v>26.4</v>
      </c>
      <c r="F645" s="6" t="n">
        <v>74.8</v>
      </c>
      <c r="G645" s="6" t="s">
        <v>127</v>
      </c>
    </row>
    <row r="646" customFormat="false" ht="15" hidden="false" customHeight="false" outlineLevel="0" collapsed="false">
      <c r="A646" s="6" t="s">
        <v>134</v>
      </c>
      <c r="B646" s="6" t="s">
        <v>120</v>
      </c>
      <c r="C646" s="6" t="n">
        <v>60</v>
      </c>
      <c r="D646" s="6" t="s">
        <v>23</v>
      </c>
      <c r="E646" s="6" t="n">
        <v>32.8</v>
      </c>
      <c r="F646" s="6" t="n">
        <v>98.6</v>
      </c>
      <c r="G646" s="6" t="s">
        <v>127</v>
      </c>
    </row>
    <row r="647" customFormat="false" ht="15" hidden="false" customHeight="false" outlineLevel="0" collapsed="false">
      <c r="A647" s="6" t="s">
        <v>134</v>
      </c>
      <c r="B647" s="6" t="s">
        <v>120</v>
      </c>
      <c r="C647" s="6" t="n">
        <v>60</v>
      </c>
      <c r="D647" s="6" t="s">
        <v>24</v>
      </c>
      <c r="E647" s="6" t="n">
        <v>34.1</v>
      </c>
      <c r="F647" s="6" t="n">
        <v>97.9</v>
      </c>
      <c r="G647" s="6" t="s">
        <v>127</v>
      </c>
    </row>
    <row r="648" customFormat="false" ht="15" hidden="false" customHeight="false" outlineLevel="0" collapsed="false">
      <c r="A648" s="6" t="s">
        <v>134</v>
      </c>
      <c r="B648" s="6" t="s">
        <v>120</v>
      </c>
      <c r="C648" s="6" t="n">
        <v>60</v>
      </c>
      <c r="D648" s="6" t="s">
        <v>25</v>
      </c>
      <c r="E648" s="6" t="n">
        <v>35.9</v>
      </c>
      <c r="F648" s="6" t="n">
        <v>99.4</v>
      </c>
      <c r="G648" s="6" t="s">
        <v>127</v>
      </c>
    </row>
    <row r="649" customFormat="false" ht="15" hidden="false" customHeight="false" outlineLevel="0" collapsed="false">
      <c r="A649" s="6" t="s">
        <v>134</v>
      </c>
      <c r="B649" s="6" t="s">
        <v>120</v>
      </c>
      <c r="C649" s="6" t="n">
        <v>60</v>
      </c>
      <c r="D649" s="6" t="s">
        <v>26</v>
      </c>
      <c r="E649" s="6" t="n">
        <v>34.8</v>
      </c>
      <c r="F649" s="6" t="n">
        <v>99.6</v>
      </c>
      <c r="G649" s="6" t="s">
        <v>127</v>
      </c>
    </row>
    <row r="650" customFormat="false" ht="15" hidden="false" customHeight="false" outlineLevel="0" collapsed="false">
      <c r="A650" s="6" t="s">
        <v>134</v>
      </c>
      <c r="B650" s="6" t="s">
        <v>120</v>
      </c>
      <c r="C650" s="6" t="n">
        <v>60</v>
      </c>
      <c r="D650" s="6" t="s">
        <v>27</v>
      </c>
      <c r="E650" s="6" t="n">
        <v>36.5</v>
      </c>
      <c r="F650" s="6" t="n">
        <v>98.1</v>
      </c>
      <c r="G650" s="6" t="s">
        <v>127</v>
      </c>
    </row>
    <row r="651" customFormat="false" ht="15" hidden="false" customHeight="false" outlineLevel="0" collapsed="false">
      <c r="A651" s="6" t="s">
        <v>134</v>
      </c>
      <c r="B651" s="6" t="s">
        <v>120</v>
      </c>
      <c r="C651" s="6" t="n">
        <v>60</v>
      </c>
      <c r="D651" s="6" t="s">
        <v>28</v>
      </c>
      <c r="E651" s="6" t="n">
        <v>34.8</v>
      </c>
      <c r="F651" s="6" t="n">
        <v>99.2</v>
      </c>
      <c r="G651" s="6" t="s">
        <v>127</v>
      </c>
    </row>
    <row r="652" customFormat="false" ht="15" hidden="false" customHeight="false" outlineLevel="0" collapsed="false">
      <c r="A652" s="6" t="s">
        <v>134</v>
      </c>
      <c r="B652" s="6" t="s">
        <v>120</v>
      </c>
      <c r="C652" s="6" t="n">
        <v>60</v>
      </c>
      <c r="D652" s="6" t="s">
        <v>29</v>
      </c>
      <c r="E652" s="6" t="n">
        <v>31.8</v>
      </c>
      <c r="F652" s="6" t="n">
        <v>99.1</v>
      </c>
      <c r="G652" s="6" t="s">
        <v>127</v>
      </c>
    </row>
    <row r="653" customFormat="false" ht="15" hidden="false" customHeight="false" outlineLevel="0" collapsed="false">
      <c r="A653" s="6" t="s">
        <v>134</v>
      </c>
      <c r="B653" s="6" t="s">
        <v>120</v>
      </c>
      <c r="C653" s="6" t="n">
        <v>60</v>
      </c>
      <c r="D653" s="6" t="s">
        <v>30</v>
      </c>
      <c r="E653" s="6" t="n">
        <v>32.4</v>
      </c>
      <c r="F653" s="6" t="n">
        <v>96.7</v>
      </c>
      <c r="G653" s="6" t="s">
        <v>127</v>
      </c>
    </row>
    <row r="654" customFormat="false" ht="15" hidden="false" customHeight="false" outlineLevel="0" collapsed="false">
      <c r="A654" s="6" t="s">
        <v>134</v>
      </c>
      <c r="B654" s="6" t="s">
        <v>120</v>
      </c>
      <c r="C654" s="6" t="n">
        <v>60</v>
      </c>
      <c r="D654" s="6" t="s">
        <v>31</v>
      </c>
      <c r="E654" s="6" t="n">
        <v>32.2</v>
      </c>
      <c r="F654" s="6" t="n">
        <v>97.8</v>
      </c>
      <c r="G654" s="6" t="s">
        <v>127</v>
      </c>
    </row>
    <row r="655" customFormat="false" ht="15" hidden="false" customHeight="false" outlineLevel="0" collapsed="false">
      <c r="A655" s="6" t="s">
        <v>134</v>
      </c>
      <c r="B655" s="6" t="s">
        <v>120</v>
      </c>
      <c r="C655" s="6" t="n">
        <v>60</v>
      </c>
      <c r="D655" s="6" t="s">
        <v>32</v>
      </c>
      <c r="E655" s="6" t="n">
        <v>31.4</v>
      </c>
      <c r="F655" s="6" t="n">
        <v>99</v>
      </c>
      <c r="G655" s="6" t="s">
        <v>127</v>
      </c>
    </row>
    <row r="656" customFormat="false" ht="15" hidden="false" customHeight="false" outlineLevel="0" collapsed="false">
      <c r="A656" s="6" t="s">
        <v>134</v>
      </c>
      <c r="B656" s="6" t="s">
        <v>120</v>
      </c>
      <c r="C656" s="6" t="n">
        <v>60</v>
      </c>
      <c r="D656" s="6" t="s">
        <v>33</v>
      </c>
      <c r="E656" s="6" t="n">
        <v>30.2</v>
      </c>
      <c r="F656" s="6" t="n">
        <v>98.8</v>
      </c>
      <c r="G656" s="6" t="s">
        <v>127</v>
      </c>
    </row>
    <row r="657" customFormat="false" ht="15" hidden="false" customHeight="false" outlineLevel="0" collapsed="false">
      <c r="A657" s="6" t="s">
        <v>134</v>
      </c>
      <c r="B657" s="6" t="s">
        <v>120</v>
      </c>
      <c r="C657" s="6" t="n">
        <v>60</v>
      </c>
      <c r="D657" s="6" t="s">
        <v>34</v>
      </c>
      <c r="E657" s="6" t="n">
        <v>31.7</v>
      </c>
      <c r="F657" s="6" t="n">
        <v>97.1</v>
      </c>
      <c r="G657" s="6" t="s">
        <v>127</v>
      </c>
    </row>
    <row r="658" customFormat="false" ht="15" hidden="false" customHeight="false" outlineLevel="0" collapsed="false">
      <c r="A658" s="6" t="s">
        <v>134</v>
      </c>
      <c r="B658" s="6" t="s">
        <v>120</v>
      </c>
      <c r="C658" s="6" t="n">
        <v>60</v>
      </c>
      <c r="D658" s="6" t="s">
        <v>35</v>
      </c>
      <c r="E658" s="6" t="n">
        <v>34.6</v>
      </c>
      <c r="F658" s="6" t="n">
        <v>98.3</v>
      </c>
      <c r="G658" s="6" t="s">
        <v>127</v>
      </c>
    </row>
    <row r="659" customFormat="false" ht="15" hidden="false" customHeight="false" outlineLevel="0" collapsed="false">
      <c r="A659" s="6" t="s">
        <v>134</v>
      </c>
      <c r="B659" s="6" t="s">
        <v>120</v>
      </c>
      <c r="C659" s="6" t="n">
        <v>60</v>
      </c>
      <c r="D659" s="6" t="s">
        <v>36</v>
      </c>
      <c r="E659" s="6" t="n">
        <v>33.8</v>
      </c>
      <c r="F659" s="6" t="n">
        <v>99</v>
      </c>
      <c r="G659" s="6" t="s">
        <v>127</v>
      </c>
    </row>
    <row r="660" customFormat="false" ht="15" hidden="false" customHeight="false" outlineLevel="0" collapsed="false">
      <c r="A660" s="6" t="s">
        <v>134</v>
      </c>
      <c r="B660" s="6" t="s">
        <v>120</v>
      </c>
      <c r="C660" s="6" t="n">
        <v>60</v>
      </c>
      <c r="D660" s="6" t="s">
        <v>37</v>
      </c>
      <c r="E660" s="6" t="n">
        <v>33.1</v>
      </c>
      <c r="F660" s="6" t="n">
        <v>98.6</v>
      </c>
      <c r="G660" s="6" t="s">
        <v>127</v>
      </c>
    </row>
    <row r="661" customFormat="false" ht="15" hidden="false" customHeight="false" outlineLevel="0" collapsed="false">
      <c r="A661" s="6" t="s">
        <v>134</v>
      </c>
      <c r="B661" s="6" t="s">
        <v>120</v>
      </c>
      <c r="C661" s="6" t="n">
        <v>60</v>
      </c>
      <c r="D661" s="6" t="s">
        <v>38</v>
      </c>
      <c r="E661" s="6" t="n">
        <v>33.7</v>
      </c>
      <c r="F661" s="6" t="n">
        <v>97.5</v>
      </c>
      <c r="G661" s="6" t="s">
        <v>127</v>
      </c>
    </row>
    <row r="662" customFormat="false" ht="15" hidden="false" customHeight="false" outlineLevel="0" collapsed="false">
      <c r="A662" s="6" t="s">
        <v>134</v>
      </c>
      <c r="B662" s="6" t="s">
        <v>120</v>
      </c>
      <c r="C662" s="6" t="n">
        <v>60</v>
      </c>
      <c r="D662" s="6" t="s">
        <v>39</v>
      </c>
      <c r="E662" s="6" t="n">
        <v>37.2</v>
      </c>
      <c r="F662" s="6" t="n">
        <v>97</v>
      </c>
      <c r="G662" s="6" t="s">
        <v>127</v>
      </c>
    </row>
    <row r="663" customFormat="false" ht="15" hidden="false" customHeight="false" outlineLevel="0" collapsed="false">
      <c r="A663" s="6" t="s">
        <v>134</v>
      </c>
      <c r="B663" s="6" t="s">
        <v>120</v>
      </c>
      <c r="C663" s="6" t="n">
        <v>60</v>
      </c>
      <c r="D663" s="6" t="s">
        <v>40</v>
      </c>
      <c r="E663" s="6" t="n">
        <v>36</v>
      </c>
      <c r="F663" s="6" t="n">
        <v>96.7</v>
      </c>
      <c r="G663" s="6" t="s">
        <v>127</v>
      </c>
    </row>
    <row r="664" customFormat="false" ht="15" hidden="false" customHeight="false" outlineLevel="0" collapsed="false">
      <c r="A664" s="6" t="s">
        <v>134</v>
      </c>
      <c r="B664" s="6" t="s">
        <v>120</v>
      </c>
      <c r="C664" s="6" t="n">
        <v>60</v>
      </c>
      <c r="D664" s="6" t="s">
        <v>41</v>
      </c>
      <c r="E664" s="6" t="n">
        <v>36.4</v>
      </c>
      <c r="F664" s="6" t="n">
        <v>97.6</v>
      </c>
      <c r="G664" s="6" t="s">
        <v>127</v>
      </c>
    </row>
    <row r="665" customFormat="false" ht="15" hidden="false" customHeight="false" outlineLevel="0" collapsed="false">
      <c r="A665" s="6" t="s">
        <v>134</v>
      </c>
      <c r="B665" s="6" t="s">
        <v>120</v>
      </c>
      <c r="C665" s="6" t="n">
        <v>60</v>
      </c>
      <c r="D665" s="6" t="s">
        <v>42</v>
      </c>
      <c r="E665" s="6" t="n">
        <v>30.6</v>
      </c>
      <c r="F665" s="6" t="n">
        <v>97.2</v>
      </c>
      <c r="G665" s="6" t="s">
        <v>127</v>
      </c>
    </row>
    <row r="666" customFormat="false" ht="15" hidden="false" customHeight="false" outlineLevel="0" collapsed="false">
      <c r="A666" s="6" t="s">
        <v>134</v>
      </c>
      <c r="B666" s="6" t="s">
        <v>120</v>
      </c>
      <c r="C666" s="6" t="n">
        <v>60</v>
      </c>
      <c r="D666" s="6" t="s">
        <v>43</v>
      </c>
      <c r="E666" s="6" t="n">
        <v>31.2</v>
      </c>
      <c r="F666" s="6" t="n">
        <v>97.5</v>
      </c>
      <c r="G666" s="6" t="s">
        <v>127</v>
      </c>
    </row>
    <row r="667" customFormat="false" ht="15" hidden="false" customHeight="false" outlineLevel="0" collapsed="false">
      <c r="A667" s="6" t="s">
        <v>134</v>
      </c>
      <c r="B667" s="6" t="s">
        <v>120</v>
      </c>
      <c r="C667" s="6" t="n">
        <v>60</v>
      </c>
      <c r="D667" s="6" t="s">
        <v>44</v>
      </c>
      <c r="E667" s="6" t="n">
        <v>40</v>
      </c>
      <c r="F667" s="6" t="n">
        <v>96.8</v>
      </c>
      <c r="G667" s="6" t="s">
        <v>127</v>
      </c>
    </row>
    <row r="668" customFormat="false" ht="15" hidden="false" customHeight="false" outlineLevel="0" collapsed="false">
      <c r="A668" s="6" t="s">
        <v>134</v>
      </c>
      <c r="B668" s="6" t="s">
        <v>120</v>
      </c>
      <c r="C668" s="6" t="n">
        <v>60</v>
      </c>
      <c r="D668" s="6" t="s">
        <v>45</v>
      </c>
      <c r="E668" s="6" t="n">
        <v>36.8</v>
      </c>
      <c r="F668" s="6" t="n">
        <v>97.3</v>
      </c>
      <c r="G668" s="6" t="s">
        <v>127</v>
      </c>
    </row>
    <row r="669" customFormat="false" ht="15" hidden="false" customHeight="false" outlineLevel="0" collapsed="false">
      <c r="A669" s="6" t="s">
        <v>134</v>
      </c>
      <c r="B669" s="6" t="s">
        <v>120</v>
      </c>
      <c r="C669" s="6" t="n">
        <v>60</v>
      </c>
      <c r="D669" s="6" t="s">
        <v>46</v>
      </c>
      <c r="E669" s="6" t="n">
        <v>37.1</v>
      </c>
      <c r="F669" s="6" t="n">
        <v>96.5</v>
      </c>
      <c r="G669" s="6" t="s">
        <v>127</v>
      </c>
    </row>
    <row r="670" customFormat="false" ht="15" hidden="false" customHeight="false" outlineLevel="0" collapsed="false">
      <c r="A670" s="6" t="s">
        <v>134</v>
      </c>
      <c r="B670" s="6" t="s">
        <v>120</v>
      </c>
      <c r="C670" s="6" t="n">
        <v>60</v>
      </c>
      <c r="D670" s="6" t="s">
        <v>47</v>
      </c>
      <c r="E670" s="6" t="n">
        <v>35.7</v>
      </c>
      <c r="F670" s="6" t="n">
        <v>97</v>
      </c>
      <c r="G670" s="6" t="s">
        <v>127</v>
      </c>
    </row>
    <row r="671" customFormat="false" ht="15" hidden="false" customHeight="false" outlineLevel="0" collapsed="false">
      <c r="A671" s="6" t="s">
        <v>134</v>
      </c>
      <c r="B671" s="6" t="s">
        <v>120</v>
      </c>
      <c r="C671" s="6" t="n">
        <v>60</v>
      </c>
      <c r="D671" s="6" t="s">
        <v>48</v>
      </c>
      <c r="E671" s="6" t="n">
        <v>38.1</v>
      </c>
      <c r="F671" s="6" t="n">
        <v>96.9</v>
      </c>
      <c r="G671" s="6" t="s">
        <v>127</v>
      </c>
    </row>
    <row r="672" customFormat="false" ht="15" hidden="false" customHeight="false" outlineLevel="0" collapsed="false">
      <c r="A672" s="6" t="s">
        <v>134</v>
      </c>
      <c r="B672" s="6" t="s">
        <v>120</v>
      </c>
      <c r="C672" s="6" t="n">
        <v>60</v>
      </c>
      <c r="D672" s="6" t="s">
        <v>49</v>
      </c>
      <c r="E672" s="6" t="n">
        <v>33.7</v>
      </c>
      <c r="F672" s="6" t="n">
        <v>95.1</v>
      </c>
      <c r="G672" s="6" t="s">
        <v>127</v>
      </c>
    </row>
    <row r="673" customFormat="false" ht="15" hidden="false" customHeight="false" outlineLevel="0" collapsed="false">
      <c r="A673" s="6" t="s">
        <v>134</v>
      </c>
      <c r="B673" s="6" t="s">
        <v>120</v>
      </c>
      <c r="C673" s="6" t="n">
        <v>60</v>
      </c>
      <c r="D673" s="6" t="s">
        <v>50</v>
      </c>
      <c r="E673" s="6" t="n">
        <v>35.2</v>
      </c>
      <c r="F673" s="6" t="n">
        <v>93.9</v>
      </c>
      <c r="G673" s="6" t="s">
        <v>127</v>
      </c>
    </row>
    <row r="674" customFormat="false" ht="15" hidden="false" customHeight="false" outlineLevel="0" collapsed="false">
      <c r="A674" s="6" t="s">
        <v>134</v>
      </c>
      <c r="B674" s="6" t="s">
        <v>120</v>
      </c>
      <c r="C674" s="6" t="n">
        <v>60</v>
      </c>
      <c r="D674" s="6" t="s">
        <v>51</v>
      </c>
      <c r="E674" s="6" t="n">
        <v>30.3</v>
      </c>
      <c r="F674" s="6" t="n">
        <v>97.1</v>
      </c>
      <c r="G674" s="6" t="s">
        <v>127</v>
      </c>
    </row>
    <row r="675" customFormat="false" ht="15" hidden="false" customHeight="false" outlineLevel="0" collapsed="false">
      <c r="A675" s="6" t="s">
        <v>134</v>
      </c>
      <c r="B675" s="6" t="s">
        <v>120</v>
      </c>
      <c r="C675" s="6" t="n">
        <v>60</v>
      </c>
      <c r="D675" s="6" t="s">
        <v>52</v>
      </c>
      <c r="E675" s="6" t="n">
        <v>29.5</v>
      </c>
      <c r="F675" s="6" t="n">
        <v>95.7</v>
      </c>
      <c r="G675" s="6" t="s">
        <v>127</v>
      </c>
    </row>
    <row r="676" customFormat="false" ht="15" hidden="false" customHeight="false" outlineLevel="0" collapsed="false">
      <c r="A676" s="6" t="s">
        <v>134</v>
      </c>
      <c r="B676" s="6" t="s">
        <v>120</v>
      </c>
      <c r="C676" s="6" t="n">
        <v>60</v>
      </c>
      <c r="D676" s="6" t="s">
        <v>53</v>
      </c>
      <c r="E676" s="6" t="n">
        <v>32.8</v>
      </c>
      <c r="F676" s="6" t="n">
        <v>93.5</v>
      </c>
      <c r="G676" s="6" t="s">
        <v>127</v>
      </c>
    </row>
    <row r="677" customFormat="false" ht="15" hidden="false" customHeight="false" outlineLevel="0" collapsed="false">
      <c r="A677" s="6" t="s">
        <v>134</v>
      </c>
      <c r="B677" s="6" t="s">
        <v>120</v>
      </c>
      <c r="C677" s="6" t="n">
        <v>60</v>
      </c>
      <c r="D677" s="6" t="s">
        <v>54</v>
      </c>
      <c r="E677" s="6" t="n">
        <v>33.6</v>
      </c>
      <c r="F677" s="6" t="n">
        <v>94.4</v>
      </c>
      <c r="G677" s="6" t="s">
        <v>127</v>
      </c>
    </row>
    <row r="678" customFormat="false" ht="15" hidden="false" customHeight="false" outlineLevel="0" collapsed="false">
      <c r="A678" s="6" t="s">
        <v>134</v>
      </c>
      <c r="B678" s="6" t="s">
        <v>120</v>
      </c>
      <c r="C678" s="6" t="n">
        <v>60</v>
      </c>
      <c r="D678" s="6" t="s">
        <v>55</v>
      </c>
      <c r="E678" s="6" t="n">
        <v>32.2</v>
      </c>
      <c r="F678" s="6" t="n">
        <v>95.7</v>
      </c>
      <c r="G678" s="6" t="s">
        <v>127</v>
      </c>
    </row>
    <row r="679" customFormat="false" ht="15" hidden="false" customHeight="false" outlineLevel="0" collapsed="false">
      <c r="A679" s="6" t="s">
        <v>134</v>
      </c>
      <c r="B679" s="6" t="s">
        <v>120</v>
      </c>
      <c r="C679" s="6" t="n">
        <v>60</v>
      </c>
      <c r="D679" s="6" t="s">
        <v>56</v>
      </c>
      <c r="E679" s="6" t="n">
        <v>44.4</v>
      </c>
      <c r="F679" s="6" t="n">
        <v>94.5</v>
      </c>
      <c r="G679" s="6" t="s">
        <v>127</v>
      </c>
    </row>
    <row r="680" customFormat="false" ht="15" hidden="false" customHeight="false" outlineLevel="0" collapsed="false">
      <c r="A680" s="6" t="s">
        <v>134</v>
      </c>
      <c r="B680" s="6" t="s">
        <v>120</v>
      </c>
      <c r="C680" s="6" t="n">
        <v>60</v>
      </c>
      <c r="D680" s="6" t="s">
        <v>57</v>
      </c>
      <c r="E680" s="6" t="n">
        <v>40.8</v>
      </c>
      <c r="F680" s="6" t="n">
        <v>94.1</v>
      </c>
      <c r="G680" s="6" t="s">
        <v>127</v>
      </c>
    </row>
    <row r="681" customFormat="false" ht="15" hidden="false" customHeight="false" outlineLevel="0" collapsed="false">
      <c r="A681" s="6" t="s">
        <v>134</v>
      </c>
      <c r="B681" s="6" t="s">
        <v>120</v>
      </c>
      <c r="C681" s="6" t="n">
        <v>60</v>
      </c>
      <c r="D681" s="6" t="s">
        <v>58</v>
      </c>
      <c r="E681" s="6" t="n">
        <v>37.5</v>
      </c>
      <c r="F681" s="6" t="n">
        <v>95.9</v>
      </c>
      <c r="G681" s="6" t="s">
        <v>127</v>
      </c>
    </row>
    <row r="682" customFormat="false" ht="15" hidden="false" customHeight="false" outlineLevel="0" collapsed="false">
      <c r="A682" s="6" t="s">
        <v>134</v>
      </c>
      <c r="B682" s="6" t="s">
        <v>120</v>
      </c>
      <c r="C682" s="6" t="n">
        <v>60</v>
      </c>
      <c r="D682" s="6" t="s">
        <v>59</v>
      </c>
      <c r="E682" s="6" t="n">
        <v>32.4</v>
      </c>
      <c r="F682" s="6" t="n">
        <v>93.3</v>
      </c>
      <c r="G682" s="6" t="s">
        <v>127</v>
      </c>
    </row>
    <row r="683" customFormat="false" ht="15" hidden="false" customHeight="false" outlineLevel="0" collapsed="false">
      <c r="A683" s="6" t="s">
        <v>134</v>
      </c>
      <c r="B683" s="6" t="s">
        <v>120</v>
      </c>
      <c r="C683" s="6" t="n">
        <v>60</v>
      </c>
      <c r="D683" s="6" t="s">
        <v>60</v>
      </c>
      <c r="E683" s="6" t="n">
        <v>31.3</v>
      </c>
      <c r="F683" s="6" t="n">
        <v>93.4</v>
      </c>
      <c r="G683" s="6" t="s">
        <v>127</v>
      </c>
    </row>
    <row r="684" customFormat="false" ht="15" hidden="false" customHeight="false" outlineLevel="0" collapsed="false">
      <c r="A684" s="6" t="s">
        <v>134</v>
      </c>
      <c r="B684" s="6" t="s">
        <v>120</v>
      </c>
      <c r="C684" s="6" t="n">
        <v>60</v>
      </c>
      <c r="D684" s="6" t="s">
        <v>61</v>
      </c>
      <c r="E684" s="6" t="n">
        <v>31.2</v>
      </c>
      <c r="F684" s="6" t="n">
        <v>94.2</v>
      </c>
      <c r="G684" s="6" t="s">
        <v>127</v>
      </c>
    </row>
    <row r="685" customFormat="false" ht="15" hidden="false" customHeight="false" outlineLevel="0" collapsed="false">
      <c r="A685" s="6" t="s">
        <v>134</v>
      </c>
      <c r="B685" s="6" t="s">
        <v>120</v>
      </c>
      <c r="C685" s="6" t="n">
        <v>60</v>
      </c>
      <c r="D685" s="6" t="s">
        <v>62</v>
      </c>
      <c r="E685" s="6" t="n">
        <v>32.9</v>
      </c>
      <c r="F685" s="6" t="n">
        <v>94.2</v>
      </c>
      <c r="G685" s="6" t="s">
        <v>127</v>
      </c>
    </row>
    <row r="686" customFormat="false" ht="15" hidden="false" customHeight="false" outlineLevel="0" collapsed="false">
      <c r="A686" s="6" t="s">
        <v>134</v>
      </c>
      <c r="B686" s="6" t="s">
        <v>120</v>
      </c>
      <c r="C686" s="6" t="n">
        <v>60</v>
      </c>
      <c r="D686" s="6" t="s">
        <v>63</v>
      </c>
      <c r="E686" s="6" t="n">
        <v>33.3</v>
      </c>
      <c r="F686" s="6" t="n">
        <v>94.2</v>
      </c>
      <c r="G686" s="6" t="s">
        <v>127</v>
      </c>
    </row>
    <row r="687" customFormat="false" ht="15" hidden="false" customHeight="false" outlineLevel="0" collapsed="false">
      <c r="A687" s="6" t="s">
        <v>134</v>
      </c>
      <c r="B687" s="6" t="s">
        <v>120</v>
      </c>
      <c r="C687" s="6" t="n">
        <v>60</v>
      </c>
      <c r="D687" s="6" t="s">
        <v>64</v>
      </c>
      <c r="E687" s="6" t="n">
        <v>34.5</v>
      </c>
      <c r="F687" s="6" t="n">
        <v>94.4</v>
      </c>
      <c r="G687" s="6" t="s">
        <v>127</v>
      </c>
    </row>
    <row r="688" customFormat="false" ht="15" hidden="false" customHeight="false" outlineLevel="0" collapsed="false">
      <c r="A688" s="6" t="s">
        <v>134</v>
      </c>
      <c r="B688" s="6" t="s">
        <v>120</v>
      </c>
      <c r="C688" s="6" t="n">
        <v>60</v>
      </c>
      <c r="D688" s="6" t="s">
        <v>65</v>
      </c>
      <c r="E688" s="6" t="n">
        <v>32.1</v>
      </c>
      <c r="F688" s="6" t="n">
        <v>93.6</v>
      </c>
      <c r="G688" s="6" t="s">
        <v>127</v>
      </c>
    </row>
    <row r="689" customFormat="false" ht="15" hidden="false" customHeight="false" outlineLevel="0" collapsed="false">
      <c r="A689" s="6" t="s">
        <v>134</v>
      </c>
      <c r="B689" s="6" t="s">
        <v>120</v>
      </c>
      <c r="C689" s="6" t="n">
        <v>60</v>
      </c>
      <c r="D689" s="6" t="s">
        <v>66</v>
      </c>
      <c r="E689" s="6" t="n">
        <v>30.6</v>
      </c>
      <c r="F689" s="6" t="n">
        <v>93.7</v>
      </c>
      <c r="G689" s="6" t="s">
        <v>127</v>
      </c>
    </row>
    <row r="690" customFormat="false" ht="15" hidden="false" customHeight="false" outlineLevel="0" collapsed="false">
      <c r="A690" s="6" t="s">
        <v>134</v>
      </c>
      <c r="B690" s="6" t="s">
        <v>120</v>
      </c>
      <c r="C690" s="6" t="n">
        <v>60</v>
      </c>
      <c r="D690" s="6" t="s">
        <v>67</v>
      </c>
      <c r="E690" s="6" t="n">
        <v>30.3</v>
      </c>
      <c r="F690" s="6" t="n">
        <v>92.8</v>
      </c>
      <c r="G690" s="6" t="s">
        <v>127</v>
      </c>
    </row>
    <row r="691" customFormat="false" ht="15" hidden="false" customHeight="false" outlineLevel="0" collapsed="false">
      <c r="A691" s="6" t="s">
        <v>134</v>
      </c>
      <c r="B691" s="6" t="s">
        <v>120</v>
      </c>
      <c r="C691" s="6" t="n">
        <v>60</v>
      </c>
      <c r="D691" s="6" t="s">
        <v>68</v>
      </c>
      <c r="E691" s="6" t="n">
        <v>33.3</v>
      </c>
      <c r="F691" s="6" t="n">
        <v>93</v>
      </c>
      <c r="G691" s="6" t="s">
        <v>127</v>
      </c>
    </row>
    <row r="692" customFormat="false" ht="15" hidden="false" customHeight="false" outlineLevel="0" collapsed="false">
      <c r="A692" s="6" t="s">
        <v>134</v>
      </c>
      <c r="B692" s="6" t="s">
        <v>120</v>
      </c>
      <c r="C692" s="6" t="n">
        <v>60</v>
      </c>
      <c r="D692" s="6" t="s">
        <v>69</v>
      </c>
      <c r="E692" s="6" t="n">
        <v>33.1</v>
      </c>
      <c r="F692" s="6" t="n">
        <v>92.8</v>
      </c>
      <c r="G692" s="6" t="s">
        <v>127</v>
      </c>
    </row>
    <row r="693" customFormat="false" ht="15" hidden="false" customHeight="false" outlineLevel="0" collapsed="false">
      <c r="A693" s="6" t="s">
        <v>134</v>
      </c>
      <c r="B693" s="6" t="s">
        <v>120</v>
      </c>
      <c r="C693" s="6" t="n">
        <v>60</v>
      </c>
      <c r="D693" s="6" t="s">
        <v>70</v>
      </c>
      <c r="E693" s="6" t="n">
        <v>33.1</v>
      </c>
      <c r="F693" s="6" t="n">
        <v>92.8</v>
      </c>
      <c r="G693" s="6" t="s">
        <v>127</v>
      </c>
    </row>
    <row r="694" customFormat="false" ht="15" hidden="false" customHeight="false" outlineLevel="0" collapsed="false">
      <c r="A694" s="6" t="s">
        <v>134</v>
      </c>
      <c r="B694" s="6" t="s">
        <v>120</v>
      </c>
      <c r="C694" s="6" t="n">
        <v>60</v>
      </c>
      <c r="D694" s="6" t="s">
        <v>71</v>
      </c>
      <c r="E694" s="6" t="n">
        <v>31.8</v>
      </c>
      <c r="F694" s="6" t="n">
        <v>93.2</v>
      </c>
      <c r="G694" s="6" t="s">
        <v>127</v>
      </c>
    </row>
    <row r="695" customFormat="false" ht="15" hidden="false" customHeight="false" outlineLevel="0" collapsed="false">
      <c r="A695" s="6" t="s">
        <v>134</v>
      </c>
      <c r="B695" s="6" t="s">
        <v>120</v>
      </c>
      <c r="C695" s="6" t="n">
        <v>60</v>
      </c>
      <c r="D695" s="6" t="s">
        <v>72</v>
      </c>
      <c r="E695" s="6" t="n">
        <v>32.6</v>
      </c>
      <c r="F695" s="6" t="n">
        <v>92.8</v>
      </c>
      <c r="G695" s="6" t="s">
        <v>127</v>
      </c>
    </row>
    <row r="696" customFormat="false" ht="15" hidden="false" customHeight="false" outlineLevel="0" collapsed="false">
      <c r="A696" s="6" t="s">
        <v>134</v>
      </c>
      <c r="B696" s="6" t="s">
        <v>120</v>
      </c>
      <c r="C696" s="6" t="n">
        <v>60</v>
      </c>
      <c r="D696" s="6" t="s">
        <v>73</v>
      </c>
      <c r="E696" s="6" t="n">
        <v>37.1</v>
      </c>
      <c r="F696" s="6" t="n">
        <v>92.1</v>
      </c>
      <c r="G696" s="6" t="s">
        <v>127</v>
      </c>
    </row>
    <row r="697" customFormat="false" ht="15" hidden="false" customHeight="false" outlineLevel="0" collapsed="false">
      <c r="A697" s="6" t="s">
        <v>134</v>
      </c>
      <c r="B697" s="6" t="s">
        <v>120</v>
      </c>
      <c r="C697" s="6" t="n">
        <v>60</v>
      </c>
      <c r="D697" s="6" t="s">
        <v>74</v>
      </c>
      <c r="E697" s="6" t="n">
        <v>37.7</v>
      </c>
      <c r="F697" s="6" t="n">
        <v>91.1</v>
      </c>
      <c r="G697" s="6" t="s">
        <v>127</v>
      </c>
    </row>
    <row r="698" customFormat="false" ht="15" hidden="false" customHeight="false" outlineLevel="0" collapsed="false">
      <c r="A698" s="6" t="s">
        <v>134</v>
      </c>
      <c r="B698" s="6" t="s">
        <v>120</v>
      </c>
      <c r="C698" s="6" t="n">
        <v>60</v>
      </c>
      <c r="D698" s="6" t="s">
        <v>75</v>
      </c>
      <c r="E698" s="6" t="n">
        <v>32.6</v>
      </c>
      <c r="F698" s="6" t="n">
        <v>91.9</v>
      </c>
      <c r="G698" s="6" t="s">
        <v>127</v>
      </c>
    </row>
    <row r="699" customFormat="false" ht="15" hidden="false" customHeight="false" outlineLevel="0" collapsed="false">
      <c r="A699" s="6" t="s">
        <v>134</v>
      </c>
      <c r="B699" s="6" t="s">
        <v>120</v>
      </c>
      <c r="C699" s="6" t="n">
        <v>60</v>
      </c>
      <c r="D699" s="6" t="s">
        <v>76</v>
      </c>
      <c r="E699" s="6" t="n">
        <v>33.3</v>
      </c>
      <c r="F699" s="6" t="n">
        <v>91.6</v>
      </c>
      <c r="G699" s="6" t="s">
        <v>127</v>
      </c>
    </row>
    <row r="700" customFormat="false" ht="15" hidden="false" customHeight="false" outlineLevel="0" collapsed="false">
      <c r="A700" s="6" t="s">
        <v>134</v>
      </c>
      <c r="B700" s="6" t="s">
        <v>120</v>
      </c>
      <c r="C700" s="6" t="n">
        <v>60</v>
      </c>
      <c r="D700" s="6" t="s">
        <v>77</v>
      </c>
      <c r="E700" s="6" t="n">
        <v>36.4</v>
      </c>
      <c r="F700" s="6" t="n">
        <v>91.7</v>
      </c>
      <c r="G700" s="6" t="s">
        <v>127</v>
      </c>
    </row>
    <row r="701" customFormat="false" ht="15" hidden="false" customHeight="false" outlineLevel="0" collapsed="false">
      <c r="A701" s="6" t="s">
        <v>134</v>
      </c>
      <c r="B701" s="6" t="s">
        <v>120</v>
      </c>
      <c r="C701" s="6" t="n">
        <v>60</v>
      </c>
      <c r="D701" s="6" t="s">
        <v>78</v>
      </c>
      <c r="E701" s="6" t="n">
        <v>34.7</v>
      </c>
      <c r="F701" s="6" t="n">
        <v>93.5</v>
      </c>
      <c r="G701" s="6" t="s">
        <v>127</v>
      </c>
    </row>
    <row r="702" customFormat="false" ht="15" hidden="false" customHeight="false" outlineLevel="0" collapsed="false">
      <c r="A702" s="6" t="s">
        <v>134</v>
      </c>
      <c r="B702" s="6" t="s">
        <v>120</v>
      </c>
      <c r="C702" s="6" t="n">
        <v>60</v>
      </c>
      <c r="D702" s="6" t="s">
        <v>79</v>
      </c>
      <c r="E702" s="6" t="n">
        <v>32.4</v>
      </c>
      <c r="F702" s="6" t="n">
        <v>90.6</v>
      </c>
      <c r="G702" s="6" t="s">
        <v>127</v>
      </c>
    </row>
    <row r="703" customFormat="false" ht="15" hidden="false" customHeight="false" outlineLevel="0" collapsed="false">
      <c r="A703" s="6" t="s">
        <v>134</v>
      </c>
      <c r="B703" s="6" t="s">
        <v>120</v>
      </c>
      <c r="C703" s="6" t="n">
        <v>60</v>
      </c>
      <c r="D703" s="6" t="s">
        <v>80</v>
      </c>
      <c r="E703" s="6" t="n">
        <v>30.7</v>
      </c>
      <c r="F703" s="6" t="n">
        <v>91.4</v>
      </c>
      <c r="G703" s="6" t="s">
        <v>127</v>
      </c>
    </row>
    <row r="704" customFormat="false" ht="15" hidden="false" customHeight="false" outlineLevel="0" collapsed="false">
      <c r="A704" s="6" t="s">
        <v>134</v>
      </c>
      <c r="B704" s="6" t="s">
        <v>120</v>
      </c>
      <c r="C704" s="6" t="n">
        <v>60</v>
      </c>
      <c r="D704" s="6" t="s">
        <v>81</v>
      </c>
      <c r="E704" s="6" t="n">
        <v>31.4</v>
      </c>
      <c r="F704" s="6" t="n">
        <v>91.9</v>
      </c>
      <c r="G704" s="6" t="s">
        <v>127</v>
      </c>
    </row>
    <row r="705" customFormat="false" ht="15" hidden="false" customHeight="false" outlineLevel="0" collapsed="false">
      <c r="A705" s="6" t="s">
        <v>134</v>
      </c>
      <c r="B705" s="6" t="s">
        <v>120</v>
      </c>
      <c r="C705" s="6" t="n">
        <v>60</v>
      </c>
      <c r="D705" s="6" t="s">
        <v>82</v>
      </c>
      <c r="E705" s="6" t="n">
        <v>35.3</v>
      </c>
      <c r="F705" s="6" t="n">
        <v>90.8</v>
      </c>
      <c r="G705" s="6" t="s">
        <v>127</v>
      </c>
    </row>
    <row r="706" customFormat="false" ht="15" hidden="false" customHeight="false" outlineLevel="0" collapsed="false">
      <c r="A706" s="6" t="s">
        <v>134</v>
      </c>
      <c r="B706" s="6" t="s">
        <v>120</v>
      </c>
      <c r="C706" s="6" t="n">
        <v>60</v>
      </c>
      <c r="D706" s="6" t="s">
        <v>83</v>
      </c>
      <c r="E706" s="6" t="n">
        <v>34.2</v>
      </c>
      <c r="F706" s="6" t="n">
        <v>92.9</v>
      </c>
      <c r="G706" s="6" t="s">
        <v>127</v>
      </c>
    </row>
    <row r="707" customFormat="false" ht="15" hidden="false" customHeight="false" outlineLevel="0" collapsed="false">
      <c r="A707" s="6" t="s">
        <v>134</v>
      </c>
      <c r="B707" s="6" t="s">
        <v>120</v>
      </c>
      <c r="C707" s="6" t="n">
        <v>60</v>
      </c>
      <c r="D707" s="6" t="s">
        <v>84</v>
      </c>
      <c r="E707" s="6" t="n">
        <v>35.5</v>
      </c>
      <c r="F707" s="6" t="n">
        <v>90</v>
      </c>
      <c r="G707" s="6" t="s">
        <v>127</v>
      </c>
    </row>
    <row r="708" customFormat="false" ht="15" hidden="false" customHeight="false" outlineLevel="0" collapsed="false">
      <c r="A708" s="6" t="s">
        <v>134</v>
      </c>
      <c r="B708" s="6" t="s">
        <v>120</v>
      </c>
      <c r="C708" s="6" t="n">
        <v>60</v>
      </c>
      <c r="D708" s="6" t="s">
        <v>85</v>
      </c>
      <c r="E708" s="6" t="n">
        <v>36.4</v>
      </c>
      <c r="F708" s="6" t="n">
        <v>90.5</v>
      </c>
      <c r="G708" s="6" t="s">
        <v>127</v>
      </c>
    </row>
    <row r="709" customFormat="false" ht="15" hidden="false" customHeight="false" outlineLevel="0" collapsed="false">
      <c r="A709" s="6" t="s">
        <v>134</v>
      </c>
      <c r="B709" s="6" t="s">
        <v>120</v>
      </c>
      <c r="C709" s="6" t="n">
        <v>60</v>
      </c>
      <c r="D709" s="6" t="s">
        <v>86</v>
      </c>
      <c r="E709" s="6" t="n">
        <v>33.7</v>
      </c>
      <c r="F709" s="6" t="n">
        <v>89.3</v>
      </c>
      <c r="G709" s="6" t="s">
        <v>127</v>
      </c>
    </row>
    <row r="710" customFormat="false" ht="15" hidden="false" customHeight="false" outlineLevel="0" collapsed="false">
      <c r="A710" s="6" t="s">
        <v>134</v>
      </c>
      <c r="B710" s="6" t="s">
        <v>120</v>
      </c>
      <c r="C710" s="6" t="n">
        <v>60</v>
      </c>
      <c r="D710" s="6" t="s">
        <v>87</v>
      </c>
      <c r="E710" s="6" t="n">
        <v>35.6</v>
      </c>
      <c r="F710" s="6" t="n">
        <v>89.5</v>
      </c>
      <c r="G710" s="6" t="s">
        <v>127</v>
      </c>
    </row>
    <row r="711" customFormat="false" ht="15" hidden="false" customHeight="false" outlineLevel="0" collapsed="false">
      <c r="A711" s="6" t="s">
        <v>134</v>
      </c>
      <c r="B711" s="6" t="s">
        <v>120</v>
      </c>
      <c r="C711" s="6" t="n">
        <v>60</v>
      </c>
      <c r="D711" s="6" t="s">
        <v>88</v>
      </c>
      <c r="E711" s="6" t="n">
        <v>34.6</v>
      </c>
      <c r="F711" s="6" t="n">
        <v>90</v>
      </c>
      <c r="G711" s="6" t="s">
        <v>127</v>
      </c>
    </row>
    <row r="712" customFormat="false" ht="15" hidden="false" customHeight="false" outlineLevel="0" collapsed="false">
      <c r="A712" s="6" t="s">
        <v>134</v>
      </c>
      <c r="B712" s="6" t="s">
        <v>120</v>
      </c>
      <c r="C712" s="6" t="n">
        <v>60</v>
      </c>
      <c r="D712" s="6" t="s">
        <v>89</v>
      </c>
      <c r="E712" s="6" t="n">
        <v>35</v>
      </c>
      <c r="F712" s="6" t="n">
        <v>90.4</v>
      </c>
      <c r="G712" s="6" t="s">
        <v>127</v>
      </c>
    </row>
    <row r="713" customFormat="false" ht="15" hidden="false" customHeight="false" outlineLevel="0" collapsed="false">
      <c r="A713" s="6" t="s">
        <v>134</v>
      </c>
      <c r="B713" s="6" t="s">
        <v>120</v>
      </c>
      <c r="C713" s="6" t="n">
        <v>60</v>
      </c>
      <c r="D713" s="6" t="s">
        <v>90</v>
      </c>
      <c r="E713" s="6" t="n">
        <v>34.3</v>
      </c>
      <c r="F713" s="6" t="n">
        <v>89.7</v>
      </c>
      <c r="G713" s="6" t="s">
        <v>127</v>
      </c>
    </row>
    <row r="714" customFormat="false" ht="15" hidden="false" customHeight="false" outlineLevel="0" collapsed="false">
      <c r="A714" s="6" t="s">
        <v>134</v>
      </c>
      <c r="B714" s="6" t="s">
        <v>120</v>
      </c>
      <c r="C714" s="6" t="n">
        <v>60</v>
      </c>
      <c r="D714" s="6" t="s">
        <v>91</v>
      </c>
      <c r="E714" s="6" t="n">
        <v>32.2</v>
      </c>
      <c r="F714" s="6" t="n">
        <v>90.5</v>
      </c>
      <c r="G714" s="6" t="s">
        <v>127</v>
      </c>
    </row>
    <row r="715" customFormat="false" ht="15" hidden="false" customHeight="false" outlineLevel="0" collapsed="false">
      <c r="A715" s="6" t="s">
        <v>134</v>
      </c>
      <c r="B715" s="6" t="s">
        <v>120</v>
      </c>
      <c r="C715" s="6" t="n">
        <v>60</v>
      </c>
      <c r="D715" s="6" t="s">
        <v>92</v>
      </c>
      <c r="E715" s="6" t="n">
        <v>35.4</v>
      </c>
      <c r="F715" s="6" t="n">
        <v>89</v>
      </c>
      <c r="G715" s="6" t="s">
        <v>127</v>
      </c>
    </row>
    <row r="716" customFormat="false" ht="15" hidden="false" customHeight="false" outlineLevel="0" collapsed="false">
      <c r="A716" s="6" t="s">
        <v>134</v>
      </c>
      <c r="B716" s="6" t="s">
        <v>120</v>
      </c>
      <c r="C716" s="6" t="n">
        <v>60</v>
      </c>
      <c r="D716" s="6" t="s">
        <v>93</v>
      </c>
      <c r="E716" s="6" t="n">
        <v>45</v>
      </c>
      <c r="F716" s="6" t="n">
        <v>88.6</v>
      </c>
      <c r="G716" s="6" t="s">
        <v>127</v>
      </c>
    </row>
    <row r="717" customFormat="false" ht="15" hidden="false" customHeight="false" outlineLevel="0" collapsed="false">
      <c r="A717" s="6" t="s">
        <v>134</v>
      </c>
      <c r="B717" s="6" t="s">
        <v>120</v>
      </c>
      <c r="C717" s="6" t="n">
        <v>60</v>
      </c>
      <c r="D717" s="6" t="s">
        <v>94</v>
      </c>
      <c r="E717" s="6" t="n">
        <v>42.4</v>
      </c>
      <c r="F717" s="6" t="n">
        <v>91.5</v>
      </c>
      <c r="G717" s="6" t="s">
        <v>127</v>
      </c>
    </row>
    <row r="718" customFormat="false" ht="15" hidden="false" customHeight="false" outlineLevel="0" collapsed="false">
      <c r="A718" s="6" t="s">
        <v>134</v>
      </c>
      <c r="B718" s="6" t="s">
        <v>120</v>
      </c>
      <c r="C718" s="6" t="n">
        <v>60</v>
      </c>
      <c r="D718" s="6" t="s">
        <v>95</v>
      </c>
      <c r="E718" s="6" t="n">
        <v>44</v>
      </c>
      <c r="F718" s="6" t="n">
        <v>89</v>
      </c>
      <c r="G718" s="6" t="s">
        <v>127</v>
      </c>
    </row>
    <row r="719" customFormat="false" ht="15" hidden="false" customHeight="false" outlineLevel="0" collapsed="false">
      <c r="A719" s="6" t="s">
        <v>134</v>
      </c>
      <c r="B719" s="6" t="s">
        <v>120</v>
      </c>
      <c r="C719" s="6" t="n">
        <v>60</v>
      </c>
      <c r="D719" s="6" t="s">
        <v>96</v>
      </c>
      <c r="E719" s="6" t="n">
        <v>30.4</v>
      </c>
      <c r="F719" s="6" t="n">
        <v>87.8</v>
      </c>
      <c r="G719" s="6" t="s">
        <v>127</v>
      </c>
    </row>
    <row r="720" customFormat="false" ht="15" hidden="false" customHeight="false" outlineLevel="0" collapsed="false">
      <c r="A720" s="6" t="s">
        <v>134</v>
      </c>
      <c r="B720" s="6" t="s">
        <v>120</v>
      </c>
      <c r="C720" s="6" t="n">
        <v>60</v>
      </c>
      <c r="D720" s="6" t="s">
        <v>97</v>
      </c>
      <c r="E720" s="6" t="n">
        <v>36.6</v>
      </c>
      <c r="F720" s="6" t="n">
        <v>87.6</v>
      </c>
      <c r="G720" s="6" t="s">
        <v>127</v>
      </c>
    </row>
    <row r="721" customFormat="false" ht="15" hidden="false" customHeight="false" outlineLevel="0" collapsed="false">
      <c r="A721" s="6" t="s">
        <v>134</v>
      </c>
      <c r="B721" s="6" t="s">
        <v>120</v>
      </c>
      <c r="C721" s="6" t="n">
        <v>60</v>
      </c>
      <c r="D721" s="6" t="s">
        <v>98</v>
      </c>
      <c r="E721" s="6" t="n">
        <v>37.1</v>
      </c>
      <c r="F721" s="6" t="n">
        <v>87.2</v>
      </c>
      <c r="G721" s="6" t="s">
        <v>127</v>
      </c>
    </row>
    <row r="722" customFormat="false" ht="15" hidden="false" customHeight="false" outlineLevel="0" collapsed="false">
      <c r="A722" s="6" t="s">
        <v>134</v>
      </c>
      <c r="B722" s="6" t="s">
        <v>120</v>
      </c>
      <c r="C722" s="6" t="n">
        <v>60</v>
      </c>
      <c r="D722" s="6" t="s">
        <v>99</v>
      </c>
      <c r="E722" s="6" t="n">
        <v>34.4</v>
      </c>
      <c r="F722" s="6" t="n">
        <v>88.9</v>
      </c>
      <c r="G722" s="6" t="s">
        <v>127</v>
      </c>
    </row>
    <row r="723" customFormat="false" ht="15" hidden="false" customHeight="false" outlineLevel="0" collapsed="false">
      <c r="A723" s="6" t="s">
        <v>134</v>
      </c>
      <c r="B723" s="6" t="s">
        <v>120</v>
      </c>
      <c r="C723" s="6" t="n">
        <v>60</v>
      </c>
      <c r="D723" s="6" t="s">
        <v>100</v>
      </c>
      <c r="E723" s="6" t="n">
        <v>32.2</v>
      </c>
      <c r="F723" s="6" t="n">
        <v>87.5</v>
      </c>
      <c r="G723" s="6" t="s">
        <v>127</v>
      </c>
    </row>
    <row r="724" customFormat="false" ht="15" hidden="false" customHeight="false" outlineLevel="0" collapsed="false">
      <c r="A724" s="6" t="s">
        <v>134</v>
      </c>
      <c r="B724" s="6" t="s">
        <v>120</v>
      </c>
      <c r="C724" s="6" t="n">
        <v>60</v>
      </c>
      <c r="D724" s="6" t="s">
        <v>101</v>
      </c>
      <c r="E724" s="6" t="n">
        <v>33.1</v>
      </c>
      <c r="F724" s="6" t="n">
        <v>87.8</v>
      </c>
      <c r="G724" s="6" t="s">
        <v>127</v>
      </c>
    </row>
    <row r="725" customFormat="false" ht="15" hidden="false" customHeight="false" outlineLevel="0" collapsed="false">
      <c r="A725" s="6" t="s">
        <v>134</v>
      </c>
      <c r="B725" s="6" t="s">
        <v>120</v>
      </c>
      <c r="C725" s="6" t="n">
        <v>60</v>
      </c>
      <c r="D725" s="6" t="s">
        <v>102</v>
      </c>
      <c r="E725" s="6" t="n">
        <v>31.1</v>
      </c>
      <c r="F725" s="6" t="n">
        <v>87.5</v>
      </c>
      <c r="G725" s="6" t="s">
        <v>127</v>
      </c>
    </row>
    <row r="726" customFormat="false" ht="15" hidden="false" customHeight="false" outlineLevel="0" collapsed="false">
      <c r="A726" s="6" t="s">
        <v>134</v>
      </c>
      <c r="B726" s="6" t="s">
        <v>120</v>
      </c>
      <c r="C726" s="6" t="n">
        <v>60</v>
      </c>
      <c r="D726" s="6" t="s">
        <v>103</v>
      </c>
      <c r="E726" s="6" t="n">
        <v>33.2</v>
      </c>
      <c r="F726" s="6" t="n">
        <v>88.1</v>
      </c>
      <c r="G726" s="6" t="s">
        <v>127</v>
      </c>
    </row>
    <row r="727" customFormat="false" ht="15" hidden="false" customHeight="false" outlineLevel="0" collapsed="false">
      <c r="A727" s="6" t="s">
        <v>134</v>
      </c>
      <c r="B727" s="6" t="s">
        <v>120</v>
      </c>
      <c r="C727" s="6" t="n">
        <v>60</v>
      </c>
      <c r="D727" s="6" t="s">
        <v>104</v>
      </c>
      <c r="E727" s="6" t="n">
        <v>30.1</v>
      </c>
      <c r="F727" s="6" t="n">
        <v>86.4</v>
      </c>
      <c r="G727" s="6" t="s">
        <v>127</v>
      </c>
    </row>
    <row r="728" customFormat="false" ht="15" hidden="false" customHeight="false" outlineLevel="0" collapsed="false">
      <c r="A728" s="6" t="s">
        <v>134</v>
      </c>
      <c r="B728" s="6" t="s">
        <v>120</v>
      </c>
      <c r="C728" s="6" t="n">
        <v>60</v>
      </c>
      <c r="D728" s="6" t="s">
        <v>105</v>
      </c>
      <c r="E728" s="6" t="n">
        <v>30.2</v>
      </c>
      <c r="F728" s="6" t="n">
        <v>86</v>
      </c>
      <c r="G728" s="6" t="s">
        <v>127</v>
      </c>
    </row>
    <row r="729" customFormat="false" ht="15" hidden="false" customHeight="false" outlineLevel="0" collapsed="false">
      <c r="A729" s="6" t="s">
        <v>134</v>
      </c>
      <c r="B729" s="6" t="s">
        <v>120</v>
      </c>
      <c r="C729" s="6" t="n">
        <v>60</v>
      </c>
      <c r="D729" s="6" t="s">
        <v>106</v>
      </c>
      <c r="E729" s="6" t="n">
        <v>35.7</v>
      </c>
      <c r="F729" s="6" t="n">
        <v>87.1</v>
      </c>
      <c r="G729" s="6" t="s">
        <v>127</v>
      </c>
    </row>
    <row r="730" customFormat="false" ht="15" hidden="false" customHeight="false" outlineLevel="0" collapsed="false">
      <c r="A730" s="6" t="s">
        <v>134</v>
      </c>
      <c r="B730" s="6" t="s">
        <v>120</v>
      </c>
      <c r="C730" s="6" t="n">
        <v>60</v>
      </c>
      <c r="D730" s="6" t="s">
        <v>107</v>
      </c>
      <c r="E730" s="6" t="n">
        <v>32.9</v>
      </c>
      <c r="F730" s="6" t="n">
        <v>87.3</v>
      </c>
      <c r="G730" s="6" t="s">
        <v>127</v>
      </c>
    </row>
    <row r="731" customFormat="false" ht="15" hidden="false" customHeight="false" outlineLevel="0" collapsed="false">
      <c r="A731" s="6" t="s">
        <v>134</v>
      </c>
      <c r="B731" s="6" t="s">
        <v>120</v>
      </c>
      <c r="C731" s="6" t="n">
        <v>60</v>
      </c>
      <c r="D731" s="6" t="s">
        <v>108</v>
      </c>
      <c r="E731" s="6" t="n">
        <v>32.2</v>
      </c>
      <c r="F731" s="6" t="n">
        <v>86.9</v>
      </c>
      <c r="G731" s="6" t="s">
        <v>127</v>
      </c>
    </row>
    <row r="732" customFormat="false" ht="15" hidden="false" customHeight="false" outlineLevel="0" collapsed="false">
      <c r="A732" s="6" t="s">
        <v>134</v>
      </c>
      <c r="B732" s="6" t="s">
        <v>120</v>
      </c>
      <c r="C732" s="6" t="n">
        <v>60</v>
      </c>
      <c r="D732" s="6" t="s">
        <v>109</v>
      </c>
      <c r="E732" s="6" t="n">
        <v>30.2</v>
      </c>
      <c r="F732" s="6" t="n">
        <v>85.6</v>
      </c>
      <c r="G732" s="6" t="s">
        <v>127</v>
      </c>
    </row>
    <row r="733" customFormat="false" ht="15" hidden="false" customHeight="false" outlineLevel="0" collapsed="false">
      <c r="A733" s="6" t="s">
        <v>134</v>
      </c>
      <c r="B733" s="6" t="s">
        <v>120</v>
      </c>
      <c r="C733" s="6" t="n">
        <v>60</v>
      </c>
      <c r="D733" s="6" t="s">
        <v>110</v>
      </c>
      <c r="E733" s="6" t="n">
        <v>31.4</v>
      </c>
      <c r="F733" s="6" t="n">
        <v>86.9</v>
      </c>
      <c r="G733" s="6" t="s">
        <v>127</v>
      </c>
    </row>
    <row r="734" customFormat="false" ht="15" hidden="false" customHeight="false" outlineLevel="0" collapsed="false">
      <c r="A734" s="6" t="s">
        <v>134</v>
      </c>
      <c r="B734" s="6" t="s">
        <v>120</v>
      </c>
      <c r="C734" s="6" t="n">
        <v>60</v>
      </c>
      <c r="D734" s="6" t="s">
        <v>111</v>
      </c>
      <c r="E734" s="6" t="n">
        <v>34.1</v>
      </c>
      <c r="F734" s="6" t="n">
        <v>85.4</v>
      </c>
      <c r="G734" s="6" t="s">
        <v>127</v>
      </c>
    </row>
    <row r="735" customFormat="false" ht="15" hidden="false" customHeight="false" outlineLevel="0" collapsed="false">
      <c r="A735" s="6" t="s">
        <v>134</v>
      </c>
      <c r="B735" s="6" t="s">
        <v>120</v>
      </c>
      <c r="C735" s="6" t="n">
        <v>60</v>
      </c>
      <c r="D735" s="6" t="s">
        <v>112</v>
      </c>
      <c r="E735" s="6" t="n">
        <v>32.8</v>
      </c>
      <c r="F735" s="6" t="n">
        <v>85.4</v>
      </c>
      <c r="G735" s="6" t="s">
        <v>127</v>
      </c>
    </row>
    <row r="736" customFormat="false" ht="15" hidden="false" customHeight="false" outlineLevel="0" collapsed="false">
      <c r="A736" s="6" t="s">
        <v>134</v>
      </c>
      <c r="B736" s="6" t="s">
        <v>120</v>
      </c>
      <c r="C736" s="6" t="n">
        <v>60</v>
      </c>
      <c r="D736" s="6" t="s">
        <v>113</v>
      </c>
      <c r="E736" s="6" t="n">
        <v>33.3</v>
      </c>
      <c r="F736" s="6" t="n">
        <v>84.8</v>
      </c>
      <c r="G736" s="6" t="s">
        <v>127</v>
      </c>
    </row>
    <row r="737" customFormat="false" ht="15" hidden="false" customHeight="false" outlineLevel="0" collapsed="false">
      <c r="A737" s="6" t="s">
        <v>134</v>
      </c>
      <c r="B737" s="6" t="s">
        <v>120</v>
      </c>
      <c r="C737" s="6" t="n">
        <v>60</v>
      </c>
      <c r="D737" s="6" t="s">
        <v>114</v>
      </c>
      <c r="E737" s="6" t="n">
        <v>32.5</v>
      </c>
      <c r="F737" s="6" t="n">
        <v>86.9</v>
      </c>
      <c r="G737" s="6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17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24"/>
    <col collapsed="false" customWidth="true" hidden="false" outlineLevel="0" max="10" min="10" style="0" width="16"/>
    <col collapsed="false" customWidth="true" hidden="false" outlineLevel="0" max="11" min="11" style="0" width="22"/>
  </cols>
  <sheetData>
    <row r="1" customFormat="false" ht="27.75" hidden="false" customHeight="true" outlineLevel="0" collapsed="false">
      <c r="A1" s="5" t="s">
        <v>135</v>
      </c>
      <c r="B1" s="5" t="s">
        <v>16</v>
      </c>
      <c r="C1" s="5" t="s">
        <v>136</v>
      </c>
      <c r="D1" s="5" t="s">
        <v>137</v>
      </c>
      <c r="E1" s="5" t="s">
        <v>138</v>
      </c>
      <c r="F1" s="5" t="s">
        <v>139</v>
      </c>
      <c r="G1" s="5" t="s">
        <v>140</v>
      </c>
      <c r="H1" s="5" t="s">
        <v>141</v>
      </c>
      <c r="I1" s="5" t="s">
        <v>142</v>
      </c>
      <c r="J1" s="5" t="s">
        <v>143</v>
      </c>
      <c r="K1" s="5" t="s">
        <v>144</v>
      </c>
    </row>
    <row r="2" customFormat="false" ht="15" hidden="false" customHeight="false" outlineLevel="0" collapsed="false">
      <c r="A2" s="6" t="s">
        <v>145</v>
      </c>
      <c r="B2" s="6" t="s">
        <v>146</v>
      </c>
      <c r="C2" s="6" t="n">
        <v>38</v>
      </c>
      <c r="D2" s="6" t="n">
        <v>2.2</v>
      </c>
      <c r="E2" s="6" t="n">
        <v>18.5</v>
      </c>
      <c r="F2" s="6" t="n">
        <v>8</v>
      </c>
      <c r="G2" s="6" t="n">
        <v>28</v>
      </c>
      <c r="H2" s="6" t="n">
        <v>0.35</v>
      </c>
      <c r="I2" s="6" t="n">
        <f aca="false">RADIANS(C2)</f>
        <v>0.663225115757845</v>
      </c>
      <c r="J2" s="6" t="n">
        <f aca="false">(F2+E2*D2*COS(I2)^2*(1-H2)*TAN(RADIANS(G2)))/(E2*D2*SIN(I2)*COS(I2))</f>
        <v>0.847517309703878</v>
      </c>
      <c r="K2" s="6" t="str">
        <f aca="false">IF(J2&lt;1,"Critical - failure likely",IF(J2&lt;1.3,"High risk",IF(J2&lt;1.5,"Moderate risk","Stable")))</f>
        <v>Critical - failure likely</v>
      </c>
    </row>
    <row r="3" customFormat="false" ht="15" hidden="false" customHeight="false" outlineLevel="0" collapsed="false">
      <c r="A3" s="6" t="s">
        <v>147</v>
      </c>
      <c r="B3" s="6" t="s">
        <v>148</v>
      </c>
      <c r="C3" s="6" t="n">
        <v>42</v>
      </c>
      <c r="D3" s="6" t="n">
        <v>1.8</v>
      </c>
      <c r="E3" s="6" t="n">
        <v>17.8</v>
      </c>
      <c r="F3" s="6" t="n">
        <v>5</v>
      </c>
      <c r="G3" s="6" t="n">
        <v>26</v>
      </c>
      <c r="H3" s="6" t="n">
        <v>0.45</v>
      </c>
      <c r="I3" s="6" t="n">
        <f aca="false">RADIANS(C3)</f>
        <v>0.733038285837618</v>
      </c>
      <c r="J3" s="6" t="n">
        <f aca="false">(F3+E3*D3*COS(I3)^2*(1-H3)*TAN(RADIANS(G3)))/(E3*D3*SIN(I3)*COS(I3))</f>
        <v>0.611754105262993</v>
      </c>
      <c r="K3" s="6" t="str">
        <f aca="false">IF(J3&lt;1,"Critical - failure likely",IF(J3&lt;1.3,"High risk",IF(J3&lt;1.5,"Moderate risk","Stable")))</f>
        <v>Critical - failure likely</v>
      </c>
    </row>
    <row r="4" customFormat="false" ht="15" hidden="false" customHeight="false" outlineLevel="0" collapsed="false">
      <c r="A4" s="6" t="s">
        <v>149</v>
      </c>
      <c r="B4" s="6" t="s">
        <v>150</v>
      </c>
      <c r="C4" s="6" t="n">
        <v>33</v>
      </c>
      <c r="D4" s="6" t="n">
        <v>2.6</v>
      </c>
      <c r="E4" s="6" t="n">
        <v>19</v>
      </c>
      <c r="F4" s="6" t="n">
        <v>12</v>
      </c>
      <c r="G4" s="6" t="n">
        <v>30</v>
      </c>
      <c r="H4" s="6" t="n">
        <v>0.28</v>
      </c>
      <c r="I4" s="6" t="n">
        <f aca="false">RADIANS(C4)</f>
        <v>0.575958653158129</v>
      </c>
      <c r="J4" s="6" t="n">
        <f aca="false">(F4+E4*D4*COS(I4)^2*(1-H4)*TAN(RADIANS(G4)))/(E4*D4*SIN(I4)*COS(I4))</f>
        <v>1.17191694385863</v>
      </c>
      <c r="K4" s="6" t="str">
        <f aca="false">IF(J4&lt;1,"Critical - failure likely",IF(J4&lt;1.3,"High risk",IF(J4&lt;1.5,"Moderate risk","Stable")))</f>
        <v>High risk</v>
      </c>
    </row>
    <row r="5" customFormat="false" ht="15" hidden="false" customHeight="false" outlineLevel="0" collapsed="false">
      <c r="A5" s="6" t="s">
        <v>151</v>
      </c>
      <c r="B5" s="6" t="s">
        <v>152</v>
      </c>
      <c r="C5" s="6" t="n">
        <v>29</v>
      </c>
      <c r="D5" s="6" t="n">
        <v>1.5</v>
      </c>
      <c r="E5" s="6" t="n">
        <v>18</v>
      </c>
      <c r="F5" s="6" t="n">
        <v>15</v>
      </c>
      <c r="G5" s="6" t="n">
        <v>31</v>
      </c>
      <c r="H5" s="6" t="n">
        <v>0.22</v>
      </c>
      <c r="I5" s="6" t="n">
        <f aca="false">RADIANS(C5)</f>
        <v>0.506145483078356</v>
      </c>
      <c r="J5" s="6" t="n">
        <f aca="false">(F5+E5*D5*COS(I5)^2*(1-H5)*TAN(RADIANS(G5)))/(E5*D5*SIN(I5)*COS(I5))</f>
        <v>2.15570360172827</v>
      </c>
      <c r="K5" s="6" t="str">
        <f aca="false">IF(J5&lt;1,"Critical - failure likely",IF(J5&lt;1.3,"High risk",IF(J5&lt;1.5,"Moderate risk","Stable")))</f>
        <v>Stable</v>
      </c>
    </row>
    <row r="6" customFormat="false" ht="15" hidden="false" customHeight="false" outlineLevel="0" collapsed="false">
      <c r="A6" s="6" t="s">
        <v>153</v>
      </c>
      <c r="B6" s="6" t="s">
        <v>154</v>
      </c>
      <c r="C6" s="6" t="n">
        <v>45</v>
      </c>
      <c r="D6" s="6" t="n">
        <v>2</v>
      </c>
      <c r="E6" s="6" t="n">
        <v>17.5</v>
      </c>
      <c r="F6" s="6" t="n">
        <v>4</v>
      </c>
      <c r="G6" s="6" t="n">
        <v>25</v>
      </c>
      <c r="H6" s="6" t="n">
        <v>0.5</v>
      </c>
      <c r="I6" s="6" t="n">
        <f aca="false">RADIANS(C6)</f>
        <v>0.785398163397448</v>
      </c>
      <c r="J6" s="6" t="n">
        <f aca="false">(F6+E6*D6*COS(I6)^2*(1-H6)*TAN(RADIANS(G6)))/(E6*D6*SIN(I6)*COS(I6))</f>
        <v>0.461725257648928</v>
      </c>
      <c r="K6" s="6" t="str">
        <f aca="false">IF(J6&lt;1,"Critical - failure likely",IF(J6&lt;1.3,"High risk",IF(J6&lt;1.5,"Moderate risk","Stable")))</f>
        <v>Critical - failure likely</v>
      </c>
    </row>
    <row r="7" customFormat="false" ht="15" hidden="false" customHeight="false" outlineLevel="0" collapsed="false">
      <c r="A7" s="6" t="s">
        <v>155</v>
      </c>
      <c r="B7" s="6" t="s">
        <v>156</v>
      </c>
      <c r="C7" s="6" t="n">
        <v>36</v>
      </c>
      <c r="D7" s="6" t="n">
        <v>2.3</v>
      </c>
      <c r="E7" s="6" t="n">
        <v>18.3</v>
      </c>
      <c r="F7" s="6" t="n">
        <v>9</v>
      </c>
      <c r="G7" s="6" t="n">
        <v>27</v>
      </c>
      <c r="H7" s="6" t="n">
        <v>0.33</v>
      </c>
      <c r="I7" s="6" t="n">
        <f aca="false">RADIANS(C7)</f>
        <v>0.628318530717959</v>
      </c>
      <c r="J7" s="6" t="n">
        <f aca="false">(F7+E7*D7*COS(I7)^2*(1-H7)*TAN(RADIANS(G7)))/(E7*D7*SIN(I7)*COS(I7))</f>
        <v>0.919535186928697</v>
      </c>
      <c r="K7" s="6" t="str">
        <f aca="false">IF(J7&lt;1,"Critical - failure likely",IF(J7&lt;1.3,"High risk",IF(J7&lt;1.5,"Moderate risk","Stable")))</f>
        <v>Critical - failure likely</v>
      </c>
    </row>
    <row r="8" customFormat="false" ht="15" hidden="false" customHeight="false" outlineLevel="0" collapsed="false">
      <c r="A8" s="6" t="s">
        <v>157</v>
      </c>
      <c r="B8" s="6" t="s">
        <v>158</v>
      </c>
      <c r="C8" s="6" t="n">
        <v>31</v>
      </c>
      <c r="D8" s="6" t="n">
        <v>1.9</v>
      </c>
      <c r="E8" s="6" t="n">
        <v>18.8</v>
      </c>
      <c r="F8" s="6" t="n">
        <v>13</v>
      </c>
      <c r="G8" s="6" t="n">
        <v>29</v>
      </c>
      <c r="H8" s="6" t="n">
        <v>0.25</v>
      </c>
      <c r="I8" s="6" t="n">
        <f aca="false">RADIANS(C8)</f>
        <v>0.541052068118242</v>
      </c>
      <c r="J8" s="6" t="n">
        <f aca="false">(F8+E8*D8*COS(I8)^2*(1-H8)*TAN(RADIANS(G8)))/(E8*D8*SIN(I8)*COS(I8))</f>
        <v>1.51627298215674</v>
      </c>
      <c r="K8" s="6" t="str">
        <f aca="false">IF(J8&lt;1,"Critical - failure likely",IF(J8&lt;1.3,"High risk",IF(J8&lt;1.5,"Moderate risk","Stable")))</f>
        <v>Stable</v>
      </c>
    </row>
    <row r="9" customFormat="false" ht="15" hidden="false" customHeight="false" outlineLevel="0" collapsed="false">
      <c r="A9" s="6" t="s">
        <v>159</v>
      </c>
      <c r="B9" s="6" t="s">
        <v>160</v>
      </c>
      <c r="C9" s="6" t="n">
        <v>40</v>
      </c>
      <c r="D9" s="6" t="n">
        <v>2.1</v>
      </c>
      <c r="E9" s="6" t="n">
        <v>18</v>
      </c>
      <c r="F9" s="6" t="n">
        <v>6</v>
      </c>
      <c r="G9" s="6" t="n">
        <v>26</v>
      </c>
      <c r="H9" s="6" t="n">
        <v>0.4</v>
      </c>
      <c r="I9" s="6" t="n">
        <f aca="false">RADIANS(C9)</f>
        <v>0.698131700797732</v>
      </c>
      <c r="J9" s="6" t="n">
        <f aca="false">(F9+E9*D9*COS(I9)^2*(1-H9)*TAN(RADIANS(G9)))/(E9*D9*SIN(I9)*COS(I9))</f>
        <v>0.671111893356087</v>
      </c>
      <c r="K9" s="6" t="str">
        <f aca="false">IF(J9&lt;1,"Critical - failure likely",IF(J9&lt;1.3,"High risk",IF(J9&lt;1.5,"Moderate risk","Stable")))</f>
        <v>Critical - failure likely</v>
      </c>
    </row>
    <row r="11" customFormat="false" ht="30" hidden="false" customHeight="true" outlineLevel="0" collapsed="false">
      <c r="A11" s="7" t="s">
        <v>161</v>
      </c>
      <c r="B11" s="7"/>
      <c r="C11" s="7"/>
      <c r="D11" s="7"/>
      <c r="E11" s="7"/>
      <c r="F11" s="7"/>
      <c r="G11" s="7"/>
      <c r="H11" s="7"/>
      <c r="I11" s="7"/>
      <c r="J11" s="7"/>
      <c r="K11" s="7"/>
    </row>
  </sheetData>
  <mergeCells count="1">
    <mergeCell ref="A11:K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5" min="4" style="0" width="12"/>
    <col collapsed="false" customWidth="true" hidden="false" outlineLevel="0" max="6" min="6" style="0" width="26"/>
    <col collapsed="false" customWidth="true" hidden="false" outlineLevel="0" max="7" min="7" style="0" width="29"/>
    <col collapsed="false" customWidth="true" hidden="false" outlineLevel="0" max="8" min="8" style="0" width="34"/>
    <col collapsed="false" customWidth="true" hidden="false" outlineLevel="0" max="9" min="9" style="0" width="21"/>
    <col collapsed="false" customWidth="true" hidden="false" outlineLevel="0" max="10" min="10" style="0" width="42"/>
  </cols>
  <sheetData>
    <row r="1" customFormat="false" ht="27.75" hidden="false" customHeight="true" outlineLevel="0" collapsed="false">
      <c r="A1" s="5" t="s">
        <v>162</v>
      </c>
      <c r="B1" s="5" t="s">
        <v>17</v>
      </c>
      <c r="C1" s="5" t="s">
        <v>163</v>
      </c>
      <c r="D1" s="5" t="s">
        <v>164</v>
      </c>
      <c r="E1" s="5" t="s">
        <v>165</v>
      </c>
      <c r="F1" s="5" t="s">
        <v>166</v>
      </c>
      <c r="G1" s="5" t="s">
        <v>167</v>
      </c>
      <c r="H1" s="5" t="s">
        <v>168</v>
      </c>
      <c r="I1" s="5" t="s">
        <v>169</v>
      </c>
      <c r="J1" s="5" t="s">
        <v>170</v>
      </c>
    </row>
    <row r="2" customFormat="false" ht="15" hidden="false" customHeight="false" outlineLevel="0" collapsed="false">
      <c r="A2" s="6" t="s">
        <v>171</v>
      </c>
      <c r="B2" s="6" t="s">
        <v>172</v>
      </c>
      <c r="C2" s="6" t="s">
        <v>173</v>
      </c>
      <c r="D2" s="6" t="n">
        <v>11.3253</v>
      </c>
      <c r="E2" s="6" t="n">
        <v>76.8068</v>
      </c>
      <c r="F2" s="6" t="n">
        <v>214.4</v>
      </c>
      <c r="G2" s="6" t="s">
        <v>174</v>
      </c>
      <c r="H2" s="6" t="s">
        <v>175</v>
      </c>
      <c r="I2" s="6" t="n">
        <v>0</v>
      </c>
      <c r="J2" s="6" t="s">
        <v>176</v>
      </c>
    </row>
    <row r="3" customFormat="false" ht="15" hidden="false" customHeight="false" outlineLevel="0" collapsed="false">
      <c r="A3" s="6" t="s">
        <v>177</v>
      </c>
      <c r="B3" s="6" t="s">
        <v>172</v>
      </c>
      <c r="C3" s="6" t="s">
        <v>118</v>
      </c>
      <c r="D3" s="6" t="n">
        <v>11.2763</v>
      </c>
      <c r="E3" s="6" t="n">
        <v>76.8457</v>
      </c>
      <c r="F3" s="6" t="n">
        <v>68.6</v>
      </c>
      <c r="G3" s="6" t="s">
        <v>178</v>
      </c>
      <c r="H3" s="6" t="s">
        <v>175</v>
      </c>
      <c r="I3" s="6" t="n">
        <v>0</v>
      </c>
      <c r="J3" s="6" t="s">
        <v>176</v>
      </c>
    </row>
    <row r="4" customFormat="false" ht="15" hidden="false" customHeight="false" outlineLevel="0" collapsed="false">
      <c r="A4" s="6" t="s">
        <v>179</v>
      </c>
      <c r="B4" s="6" t="s">
        <v>180</v>
      </c>
      <c r="C4" s="6" t="s">
        <v>181</v>
      </c>
      <c r="D4" s="6" t="n">
        <v>11.284</v>
      </c>
      <c r="E4" s="6" t="n">
        <v>76.7228</v>
      </c>
      <c r="F4" s="6" t="n">
        <v>245.9</v>
      </c>
      <c r="G4" s="6" t="s">
        <v>174</v>
      </c>
      <c r="H4" s="6" t="s">
        <v>182</v>
      </c>
      <c r="I4" s="6" t="n">
        <v>0</v>
      </c>
      <c r="J4" s="6" t="s">
        <v>176</v>
      </c>
    </row>
    <row r="5" customFormat="false" ht="15" hidden="false" customHeight="false" outlineLevel="0" collapsed="false">
      <c r="A5" s="6" t="s">
        <v>183</v>
      </c>
      <c r="B5" s="6" t="s">
        <v>184</v>
      </c>
      <c r="C5" s="6" t="s">
        <v>181</v>
      </c>
      <c r="D5" s="6" t="n">
        <v>11.3535</v>
      </c>
      <c r="E5" s="6" t="n">
        <v>76.882</v>
      </c>
      <c r="F5" s="6" t="n">
        <v>218.7</v>
      </c>
      <c r="G5" s="6" t="s">
        <v>185</v>
      </c>
      <c r="H5" s="6" t="s">
        <v>175</v>
      </c>
      <c r="I5" s="6" t="n">
        <v>0</v>
      </c>
      <c r="J5" s="6" t="s">
        <v>176</v>
      </c>
    </row>
    <row r="6" customFormat="false" ht="15" hidden="false" customHeight="false" outlineLevel="0" collapsed="false">
      <c r="A6" s="6" t="s">
        <v>186</v>
      </c>
      <c r="B6" s="6" t="s">
        <v>187</v>
      </c>
      <c r="C6" s="6" t="s">
        <v>188</v>
      </c>
      <c r="D6" s="6" t="n">
        <v>11.3004</v>
      </c>
      <c r="E6" s="6" t="n">
        <v>76.8797</v>
      </c>
      <c r="F6" s="6" t="n">
        <v>110.7</v>
      </c>
      <c r="G6" s="6" t="s">
        <v>174</v>
      </c>
      <c r="H6" s="6" t="s">
        <v>189</v>
      </c>
      <c r="I6" s="6" t="n">
        <v>0</v>
      </c>
      <c r="J6" s="6" t="s">
        <v>176</v>
      </c>
    </row>
    <row r="7" customFormat="false" ht="15" hidden="false" customHeight="false" outlineLevel="0" collapsed="false">
      <c r="A7" s="6" t="s">
        <v>190</v>
      </c>
      <c r="B7" s="6" t="s">
        <v>191</v>
      </c>
      <c r="C7" s="6" t="s">
        <v>188</v>
      </c>
      <c r="D7" s="6" t="n">
        <v>11.316</v>
      </c>
      <c r="E7" s="6" t="n">
        <v>76.7349</v>
      </c>
      <c r="F7" s="6" t="n">
        <v>212.8</v>
      </c>
      <c r="G7" s="6" t="s">
        <v>174</v>
      </c>
      <c r="H7" s="6" t="s">
        <v>175</v>
      </c>
      <c r="I7" s="6" t="n">
        <v>0</v>
      </c>
      <c r="J7" s="6" t="s">
        <v>176</v>
      </c>
    </row>
    <row r="8" customFormat="false" ht="15" hidden="false" customHeight="false" outlineLevel="0" collapsed="false">
      <c r="A8" s="6" t="s">
        <v>192</v>
      </c>
      <c r="B8" s="6" t="s">
        <v>193</v>
      </c>
      <c r="C8" s="6" t="s">
        <v>22</v>
      </c>
      <c r="D8" s="6" t="n">
        <v>11.329</v>
      </c>
      <c r="E8" s="6" t="n">
        <v>76.7509</v>
      </c>
      <c r="F8" s="6" t="n">
        <v>137.2</v>
      </c>
      <c r="G8" s="6" t="s">
        <v>185</v>
      </c>
      <c r="H8" s="6" t="s">
        <v>175</v>
      </c>
      <c r="I8" s="6" t="n">
        <v>0</v>
      </c>
      <c r="J8" s="6" t="s">
        <v>176</v>
      </c>
    </row>
    <row r="9" customFormat="false" ht="15" hidden="false" customHeight="false" outlineLevel="0" collapsed="false">
      <c r="A9" s="6" t="s">
        <v>194</v>
      </c>
      <c r="B9" s="6" t="s">
        <v>195</v>
      </c>
      <c r="C9" s="6" t="s">
        <v>196</v>
      </c>
      <c r="D9" s="6" t="n">
        <v>11.3433</v>
      </c>
      <c r="E9" s="6" t="n">
        <v>76.7186</v>
      </c>
      <c r="F9" s="6" t="n">
        <v>172.4</v>
      </c>
      <c r="G9" s="6" t="s">
        <v>178</v>
      </c>
      <c r="H9" s="6" t="s">
        <v>175</v>
      </c>
      <c r="I9" s="6" t="n">
        <v>0</v>
      </c>
      <c r="J9" s="6" t="s">
        <v>176</v>
      </c>
    </row>
    <row r="10" customFormat="false" ht="15" hidden="false" customHeight="false" outlineLevel="0" collapsed="false">
      <c r="A10" s="6" t="s">
        <v>197</v>
      </c>
      <c r="B10" s="6" t="s">
        <v>198</v>
      </c>
      <c r="C10" s="6" t="s">
        <v>116</v>
      </c>
      <c r="D10" s="6" t="n">
        <v>11.3242</v>
      </c>
      <c r="E10" s="6" t="n">
        <v>76.8408</v>
      </c>
      <c r="F10" s="6" t="n">
        <v>100.9</v>
      </c>
      <c r="G10" s="6" t="s">
        <v>174</v>
      </c>
      <c r="H10" s="6" t="s">
        <v>175</v>
      </c>
      <c r="I10" s="6" t="n">
        <v>0</v>
      </c>
      <c r="J10" s="6" t="s">
        <v>176</v>
      </c>
    </row>
    <row r="11" customFormat="false" ht="15" hidden="false" customHeight="false" outlineLevel="0" collapsed="false">
      <c r="A11" s="6" t="s">
        <v>199</v>
      </c>
      <c r="B11" s="6" t="s">
        <v>200</v>
      </c>
      <c r="C11" s="6" t="s">
        <v>22</v>
      </c>
      <c r="D11" s="6" t="n">
        <v>11.3746</v>
      </c>
      <c r="E11" s="6" t="n">
        <v>76.7678</v>
      </c>
      <c r="F11" s="6" t="n">
        <v>191.1</v>
      </c>
      <c r="G11" s="6" t="s">
        <v>178</v>
      </c>
      <c r="H11" s="6" t="s">
        <v>175</v>
      </c>
      <c r="I11" s="6" t="n">
        <v>0</v>
      </c>
      <c r="J11" s="6" t="s">
        <v>176</v>
      </c>
    </row>
    <row r="12" customFormat="false" ht="15" hidden="false" customHeight="false" outlineLevel="0" collapsed="false">
      <c r="A12" s="6" t="s">
        <v>201</v>
      </c>
      <c r="B12" s="6" t="s">
        <v>202</v>
      </c>
      <c r="C12" s="6" t="s">
        <v>22</v>
      </c>
      <c r="D12" s="6" t="n">
        <v>11.2807</v>
      </c>
      <c r="E12" s="6" t="n">
        <v>76.7807</v>
      </c>
      <c r="F12" s="6" t="n">
        <v>76.1</v>
      </c>
      <c r="G12" s="6" t="s">
        <v>174</v>
      </c>
      <c r="H12" s="6" t="s">
        <v>175</v>
      </c>
      <c r="I12" s="6" t="n">
        <v>0</v>
      </c>
      <c r="J12" s="6" t="s">
        <v>176</v>
      </c>
    </row>
    <row r="13" customFormat="false" ht="15" hidden="false" customHeight="false" outlineLevel="0" collapsed="false">
      <c r="A13" s="6" t="s">
        <v>203</v>
      </c>
      <c r="B13" s="6" t="s">
        <v>204</v>
      </c>
      <c r="C13" s="6" t="s">
        <v>196</v>
      </c>
      <c r="D13" s="6" t="n">
        <v>11.3857</v>
      </c>
      <c r="E13" s="6" t="n">
        <v>76.8739</v>
      </c>
      <c r="F13" s="6" t="n">
        <v>185.8</v>
      </c>
      <c r="G13" s="6" t="s">
        <v>174</v>
      </c>
      <c r="H13" s="6" t="s">
        <v>189</v>
      </c>
      <c r="I13" s="6" t="n">
        <v>0</v>
      </c>
      <c r="J13" s="6" t="s">
        <v>176</v>
      </c>
    </row>
    <row r="14" customFormat="false" ht="15" hidden="false" customHeight="false" outlineLevel="0" collapsed="false">
      <c r="A14" s="6" t="s">
        <v>205</v>
      </c>
      <c r="B14" s="6" t="s">
        <v>206</v>
      </c>
      <c r="C14" s="6" t="s">
        <v>173</v>
      </c>
      <c r="D14" s="6" t="n">
        <v>11.3455</v>
      </c>
      <c r="E14" s="6" t="n">
        <v>76.7972</v>
      </c>
      <c r="F14" s="6" t="n">
        <v>147.2</v>
      </c>
      <c r="G14" s="6" t="s">
        <v>178</v>
      </c>
      <c r="H14" s="6" t="s">
        <v>175</v>
      </c>
      <c r="I14" s="6" t="n">
        <v>0</v>
      </c>
      <c r="J14" s="6" t="s">
        <v>176</v>
      </c>
    </row>
    <row r="15" customFormat="false" ht="15" hidden="false" customHeight="false" outlineLevel="0" collapsed="false">
      <c r="A15" s="6" t="s">
        <v>207</v>
      </c>
      <c r="B15" s="6" t="s">
        <v>208</v>
      </c>
      <c r="C15" s="6" t="s">
        <v>209</v>
      </c>
      <c r="D15" s="6" t="n">
        <v>11.3657</v>
      </c>
      <c r="E15" s="6" t="n">
        <v>76.8796</v>
      </c>
      <c r="F15" s="6" t="n">
        <v>259</v>
      </c>
      <c r="G15" s="6" t="s">
        <v>174</v>
      </c>
      <c r="H15" s="6" t="s">
        <v>175</v>
      </c>
      <c r="I15" s="6" t="n">
        <v>0</v>
      </c>
      <c r="J15" s="6" t="s">
        <v>176</v>
      </c>
    </row>
    <row r="16" customFormat="false" ht="15" hidden="false" customHeight="false" outlineLevel="0" collapsed="false">
      <c r="A16" s="6" t="s">
        <v>210</v>
      </c>
      <c r="B16" s="6" t="s">
        <v>211</v>
      </c>
      <c r="C16" s="6" t="s">
        <v>196</v>
      </c>
      <c r="D16" s="6" t="n">
        <v>11.2758</v>
      </c>
      <c r="E16" s="6" t="n">
        <v>76.8112</v>
      </c>
      <c r="F16" s="6" t="n">
        <v>103.3</v>
      </c>
      <c r="G16" s="6" t="s">
        <v>178</v>
      </c>
      <c r="H16" s="6" t="s">
        <v>182</v>
      </c>
      <c r="I16" s="6" t="n">
        <v>0</v>
      </c>
      <c r="J16" s="6" t="s">
        <v>176</v>
      </c>
    </row>
    <row r="17" customFormat="false" ht="15" hidden="false" customHeight="false" outlineLevel="0" collapsed="false">
      <c r="A17" s="6" t="s">
        <v>212</v>
      </c>
      <c r="B17" s="6" t="s">
        <v>213</v>
      </c>
      <c r="C17" s="6" t="s">
        <v>22</v>
      </c>
      <c r="D17" s="6" t="n">
        <v>11.3168</v>
      </c>
      <c r="E17" s="6" t="n">
        <v>76.8944</v>
      </c>
      <c r="F17" s="6" t="n">
        <v>201.6</v>
      </c>
      <c r="G17" s="6" t="s">
        <v>214</v>
      </c>
      <c r="H17" s="6" t="s">
        <v>189</v>
      </c>
      <c r="I17" s="6" t="n">
        <v>0</v>
      </c>
      <c r="J17" s="6" t="s">
        <v>176</v>
      </c>
    </row>
    <row r="18" customFormat="false" ht="15" hidden="false" customHeight="false" outlineLevel="0" collapsed="false">
      <c r="A18" s="6" t="s">
        <v>215</v>
      </c>
      <c r="B18" s="6" t="s">
        <v>216</v>
      </c>
      <c r="C18" s="6" t="s">
        <v>116</v>
      </c>
      <c r="D18" s="6" t="n">
        <v>11.3618</v>
      </c>
      <c r="E18" s="6" t="n">
        <v>76.7996</v>
      </c>
      <c r="F18" s="6" t="n">
        <v>176.1</v>
      </c>
      <c r="G18" s="6" t="s">
        <v>214</v>
      </c>
      <c r="H18" s="6" t="s">
        <v>175</v>
      </c>
      <c r="I18" s="6" t="n">
        <v>0</v>
      </c>
      <c r="J18" s="6" t="s">
        <v>176</v>
      </c>
    </row>
    <row r="19" customFormat="false" ht="15" hidden="false" customHeight="false" outlineLevel="0" collapsed="false">
      <c r="A19" s="6" t="s">
        <v>217</v>
      </c>
      <c r="B19" s="6" t="s">
        <v>218</v>
      </c>
      <c r="C19" s="6" t="s">
        <v>209</v>
      </c>
      <c r="D19" s="6" t="n">
        <v>11.2918</v>
      </c>
      <c r="E19" s="6" t="n">
        <v>76.764</v>
      </c>
      <c r="F19" s="6" t="n">
        <v>133.7</v>
      </c>
      <c r="G19" s="6" t="s">
        <v>178</v>
      </c>
      <c r="H19" s="6" t="s">
        <v>189</v>
      </c>
      <c r="I19" s="6" t="n">
        <v>0</v>
      </c>
      <c r="J19" s="6" t="s">
        <v>176</v>
      </c>
    </row>
    <row r="21" customFormat="false" ht="27.75" hidden="false" customHeight="true" outlineLevel="0" collapsed="false">
      <c r="A21" s="7" t="s">
        <v>219</v>
      </c>
      <c r="B21" s="7"/>
      <c r="C21" s="7"/>
      <c r="D21" s="7"/>
      <c r="E21" s="7"/>
      <c r="F21" s="7"/>
      <c r="G21" s="7"/>
      <c r="H21" s="7"/>
      <c r="I21" s="7"/>
      <c r="J21" s="7"/>
    </row>
  </sheetData>
  <mergeCells count="1">
    <mergeCell ref="A21:J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"/>
    <col collapsed="false" customWidth="true" hidden="false" outlineLevel="0" max="3" min="3" style="0" width="27"/>
    <col collapsed="false" customWidth="true" hidden="false" outlineLevel="0" max="4" min="4" style="0" width="18"/>
    <col collapsed="false" customWidth="true" hidden="false" outlineLevel="0" max="6" min="5" style="0" width="10"/>
    <col collapsed="false" customWidth="true" hidden="false" outlineLevel="0" max="7" min="7" style="0" width="17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27.75" hidden="false" customHeight="true" outlineLevel="0" collapsed="false">
      <c r="A1" s="5" t="s">
        <v>220</v>
      </c>
      <c r="B1" s="5" t="s">
        <v>221</v>
      </c>
      <c r="C1" s="5" t="s">
        <v>222</v>
      </c>
      <c r="D1" s="5" t="s">
        <v>16</v>
      </c>
      <c r="E1" s="5" t="s">
        <v>223</v>
      </c>
      <c r="F1" s="5" t="s">
        <v>224</v>
      </c>
      <c r="G1" s="5" t="s">
        <v>225</v>
      </c>
      <c r="H1" s="5" t="s">
        <v>124</v>
      </c>
      <c r="I1" s="5" t="s">
        <v>226</v>
      </c>
    </row>
    <row r="2" customFormat="false" ht="15" hidden="false" customHeight="false" outlineLevel="0" collapsed="false">
      <c r="A2" s="6" t="s">
        <v>227</v>
      </c>
      <c r="B2" s="6" t="s">
        <v>228</v>
      </c>
      <c r="C2" s="6" t="s">
        <v>229</v>
      </c>
      <c r="D2" s="6" t="s">
        <v>230</v>
      </c>
      <c r="E2" s="6" t="n">
        <v>0.44</v>
      </c>
      <c r="F2" s="6" t="s">
        <v>231</v>
      </c>
      <c r="G2" s="6" t="n">
        <v>2</v>
      </c>
      <c r="H2" s="6" t="n">
        <v>94.2</v>
      </c>
      <c r="I2" s="6" t="str">
        <f aca="false">IF(E2&gt;=G2,"ALERT","normal")</f>
        <v>normal</v>
      </c>
    </row>
    <row r="3" customFormat="false" ht="15" hidden="false" customHeight="false" outlineLevel="0" collapsed="false">
      <c r="A3" s="6" t="s">
        <v>232</v>
      </c>
      <c r="B3" s="6" t="s">
        <v>228</v>
      </c>
      <c r="C3" s="6" t="s">
        <v>229</v>
      </c>
      <c r="D3" s="6" t="s">
        <v>230</v>
      </c>
      <c r="E3" s="6" t="n">
        <v>0.49</v>
      </c>
      <c r="F3" s="6" t="s">
        <v>231</v>
      </c>
      <c r="G3" s="6" t="n">
        <v>2</v>
      </c>
      <c r="H3" s="6" t="n">
        <v>95.1</v>
      </c>
      <c r="I3" s="6" t="str">
        <f aca="false">IF(E3&gt;=G3,"ALERT","normal")</f>
        <v>normal</v>
      </c>
    </row>
    <row r="4" customFormat="false" ht="15" hidden="false" customHeight="false" outlineLevel="0" collapsed="false">
      <c r="A4" s="6" t="s">
        <v>233</v>
      </c>
      <c r="B4" s="6" t="s">
        <v>228</v>
      </c>
      <c r="C4" s="6" t="s">
        <v>229</v>
      </c>
      <c r="D4" s="6" t="s">
        <v>230</v>
      </c>
      <c r="E4" s="6" t="n">
        <v>0.51</v>
      </c>
      <c r="F4" s="6" t="s">
        <v>231</v>
      </c>
      <c r="G4" s="6" t="n">
        <v>2</v>
      </c>
      <c r="H4" s="6" t="n">
        <v>94.8</v>
      </c>
      <c r="I4" s="6" t="str">
        <f aca="false">IF(E4&gt;=G4,"ALERT","normal")</f>
        <v>normal</v>
      </c>
    </row>
    <row r="5" customFormat="false" ht="15" hidden="false" customHeight="false" outlineLevel="0" collapsed="false">
      <c r="A5" s="6" t="s">
        <v>234</v>
      </c>
      <c r="B5" s="6" t="s">
        <v>228</v>
      </c>
      <c r="C5" s="6" t="s">
        <v>229</v>
      </c>
      <c r="D5" s="6" t="s">
        <v>230</v>
      </c>
      <c r="E5" s="6" t="n">
        <v>0.58</v>
      </c>
      <c r="F5" s="6" t="s">
        <v>231</v>
      </c>
      <c r="G5" s="6" t="n">
        <v>2</v>
      </c>
      <c r="H5" s="6" t="n">
        <v>94.5</v>
      </c>
      <c r="I5" s="6" t="str">
        <f aca="false">IF(E5&gt;=G5,"ALERT","normal")</f>
        <v>normal</v>
      </c>
    </row>
    <row r="6" customFormat="false" ht="15" hidden="false" customHeight="false" outlineLevel="0" collapsed="false">
      <c r="A6" s="6" t="s">
        <v>235</v>
      </c>
      <c r="B6" s="6" t="s">
        <v>228</v>
      </c>
      <c r="C6" s="6" t="s">
        <v>229</v>
      </c>
      <c r="D6" s="6" t="s">
        <v>230</v>
      </c>
      <c r="E6" s="6" t="n">
        <v>0.84</v>
      </c>
      <c r="F6" s="6" t="s">
        <v>231</v>
      </c>
      <c r="G6" s="6" t="n">
        <v>2</v>
      </c>
      <c r="H6" s="6" t="n">
        <v>94.7</v>
      </c>
      <c r="I6" s="6" t="str">
        <f aca="false">IF(E6&gt;=G6,"ALERT","normal")</f>
        <v>normal</v>
      </c>
    </row>
    <row r="7" customFormat="false" ht="15" hidden="false" customHeight="false" outlineLevel="0" collapsed="false">
      <c r="A7" s="6" t="s">
        <v>236</v>
      </c>
      <c r="B7" s="6" t="s">
        <v>228</v>
      </c>
      <c r="C7" s="6" t="s">
        <v>229</v>
      </c>
      <c r="D7" s="6" t="s">
        <v>230</v>
      </c>
      <c r="E7" s="6" t="n">
        <v>0.67</v>
      </c>
      <c r="F7" s="6" t="s">
        <v>231</v>
      </c>
      <c r="G7" s="6" t="n">
        <v>2</v>
      </c>
      <c r="H7" s="6" t="n">
        <v>96</v>
      </c>
      <c r="I7" s="6" t="str">
        <f aca="false">IF(E7&gt;=G7,"ALERT","normal")</f>
        <v>normal</v>
      </c>
    </row>
    <row r="8" customFormat="false" ht="15" hidden="false" customHeight="false" outlineLevel="0" collapsed="false">
      <c r="A8" s="6" t="s">
        <v>237</v>
      </c>
      <c r="B8" s="6" t="s">
        <v>228</v>
      </c>
      <c r="C8" s="6" t="s">
        <v>229</v>
      </c>
      <c r="D8" s="6" t="s">
        <v>230</v>
      </c>
      <c r="E8" s="6" t="n">
        <v>0.32</v>
      </c>
      <c r="F8" s="6" t="s">
        <v>231</v>
      </c>
      <c r="G8" s="6" t="n">
        <v>2</v>
      </c>
      <c r="H8" s="6" t="n">
        <v>94.9</v>
      </c>
      <c r="I8" s="6" t="str">
        <f aca="false">IF(E8&gt;=G8,"ALERT","normal")</f>
        <v>normal</v>
      </c>
    </row>
    <row r="9" customFormat="false" ht="15" hidden="false" customHeight="false" outlineLevel="0" collapsed="false">
      <c r="A9" s="6" t="s">
        <v>238</v>
      </c>
      <c r="B9" s="6" t="s">
        <v>228</v>
      </c>
      <c r="C9" s="6" t="s">
        <v>229</v>
      </c>
      <c r="D9" s="6" t="s">
        <v>230</v>
      </c>
      <c r="E9" s="6" t="n">
        <v>0.65</v>
      </c>
      <c r="F9" s="6" t="s">
        <v>231</v>
      </c>
      <c r="G9" s="6" t="n">
        <v>2</v>
      </c>
      <c r="H9" s="6" t="n">
        <v>95</v>
      </c>
      <c r="I9" s="6" t="str">
        <f aca="false">IF(E9&gt;=G9,"ALERT","normal")</f>
        <v>normal</v>
      </c>
    </row>
    <row r="10" customFormat="false" ht="15" hidden="false" customHeight="false" outlineLevel="0" collapsed="false">
      <c r="A10" s="6" t="s">
        <v>239</v>
      </c>
      <c r="B10" s="6" t="s">
        <v>228</v>
      </c>
      <c r="C10" s="6" t="s">
        <v>229</v>
      </c>
      <c r="D10" s="6" t="s">
        <v>230</v>
      </c>
      <c r="E10" s="6" t="n">
        <v>0.78</v>
      </c>
      <c r="F10" s="6" t="s">
        <v>231</v>
      </c>
      <c r="G10" s="6" t="n">
        <v>2</v>
      </c>
      <c r="H10" s="6" t="n">
        <v>94.8</v>
      </c>
      <c r="I10" s="6" t="str">
        <f aca="false">IF(E10&gt;=G10,"ALERT","normal")</f>
        <v>normal</v>
      </c>
    </row>
    <row r="11" customFormat="false" ht="15" hidden="false" customHeight="false" outlineLevel="0" collapsed="false">
      <c r="A11" s="6" t="s">
        <v>240</v>
      </c>
      <c r="B11" s="6" t="s">
        <v>228</v>
      </c>
      <c r="C11" s="6" t="s">
        <v>229</v>
      </c>
      <c r="D11" s="6" t="s">
        <v>230</v>
      </c>
      <c r="E11" s="6" t="n">
        <v>0.81</v>
      </c>
      <c r="F11" s="6" t="s">
        <v>231</v>
      </c>
      <c r="G11" s="6" t="n">
        <v>2</v>
      </c>
      <c r="H11" s="6" t="n">
        <v>95</v>
      </c>
      <c r="I11" s="6" t="str">
        <f aca="false">IF(E11&gt;=G11,"ALERT","normal")</f>
        <v>normal</v>
      </c>
    </row>
    <row r="12" customFormat="false" ht="15" hidden="false" customHeight="false" outlineLevel="0" collapsed="false">
      <c r="A12" s="6" t="s">
        <v>241</v>
      </c>
      <c r="B12" s="6" t="s">
        <v>228</v>
      </c>
      <c r="C12" s="6" t="s">
        <v>229</v>
      </c>
      <c r="D12" s="6" t="s">
        <v>230</v>
      </c>
      <c r="E12" s="6" t="n">
        <v>0.59</v>
      </c>
      <c r="F12" s="6" t="s">
        <v>231</v>
      </c>
      <c r="G12" s="6" t="n">
        <v>2</v>
      </c>
      <c r="H12" s="6" t="n">
        <v>94.1</v>
      </c>
      <c r="I12" s="6" t="str">
        <f aca="false">IF(E12&gt;=G12,"ALERT","normal")</f>
        <v>normal</v>
      </c>
    </row>
    <row r="13" customFormat="false" ht="15" hidden="false" customHeight="false" outlineLevel="0" collapsed="false">
      <c r="A13" s="6" t="s">
        <v>242</v>
      </c>
      <c r="B13" s="6" t="s">
        <v>228</v>
      </c>
      <c r="C13" s="6" t="s">
        <v>229</v>
      </c>
      <c r="D13" s="6" t="s">
        <v>230</v>
      </c>
      <c r="E13" s="6" t="n">
        <v>0.86</v>
      </c>
      <c r="F13" s="6" t="s">
        <v>231</v>
      </c>
      <c r="G13" s="6" t="n">
        <v>2</v>
      </c>
      <c r="H13" s="6" t="n">
        <v>93.1</v>
      </c>
      <c r="I13" s="6" t="str">
        <f aca="false">IF(E13&gt;=G13,"ALERT","normal")</f>
        <v>normal</v>
      </c>
    </row>
    <row r="14" customFormat="false" ht="15" hidden="false" customHeight="false" outlineLevel="0" collapsed="false">
      <c r="A14" s="6" t="s">
        <v>243</v>
      </c>
      <c r="B14" s="6" t="s">
        <v>228</v>
      </c>
      <c r="C14" s="6" t="s">
        <v>229</v>
      </c>
      <c r="D14" s="6" t="s">
        <v>230</v>
      </c>
      <c r="E14" s="6" t="n">
        <v>0.85</v>
      </c>
      <c r="F14" s="6" t="s">
        <v>231</v>
      </c>
      <c r="G14" s="6" t="n">
        <v>2</v>
      </c>
      <c r="H14" s="6" t="n">
        <v>93.9</v>
      </c>
      <c r="I14" s="6" t="str">
        <f aca="false">IF(E14&gt;=G14,"ALERT","normal")</f>
        <v>normal</v>
      </c>
    </row>
    <row r="15" customFormat="false" ht="15" hidden="false" customHeight="false" outlineLevel="0" collapsed="false">
      <c r="A15" s="6" t="s">
        <v>244</v>
      </c>
      <c r="B15" s="6" t="s">
        <v>228</v>
      </c>
      <c r="C15" s="6" t="s">
        <v>229</v>
      </c>
      <c r="D15" s="6" t="s">
        <v>230</v>
      </c>
      <c r="E15" s="6" t="n">
        <v>1.12</v>
      </c>
      <c r="F15" s="6" t="s">
        <v>231</v>
      </c>
      <c r="G15" s="6" t="n">
        <v>2</v>
      </c>
      <c r="H15" s="6" t="n">
        <v>94.4</v>
      </c>
      <c r="I15" s="6" t="str">
        <f aca="false">IF(E15&gt;=G15,"ALERT","normal")</f>
        <v>normal</v>
      </c>
    </row>
    <row r="16" customFormat="false" ht="15" hidden="false" customHeight="false" outlineLevel="0" collapsed="false">
      <c r="A16" s="6" t="s">
        <v>245</v>
      </c>
      <c r="B16" s="6" t="s">
        <v>228</v>
      </c>
      <c r="C16" s="6" t="s">
        <v>229</v>
      </c>
      <c r="D16" s="6" t="s">
        <v>230</v>
      </c>
      <c r="E16" s="6" t="n">
        <v>0.65</v>
      </c>
      <c r="F16" s="6" t="s">
        <v>231</v>
      </c>
      <c r="G16" s="6" t="n">
        <v>2</v>
      </c>
      <c r="H16" s="6" t="n">
        <v>93.4</v>
      </c>
      <c r="I16" s="6" t="str">
        <f aca="false">IF(E16&gt;=G16,"ALERT","normal")</f>
        <v>normal</v>
      </c>
    </row>
    <row r="17" customFormat="false" ht="15" hidden="false" customHeight="false" outlineLevel="0" collapsed="false">
      <c r="A17" s="6" t="s">
        <v>246</v>
      </c>
      <c r="B17" s="6" t="s">
        <v>228</v>
      </c>
      <c r="C17" s="6" t="s">
        <v>229</v>
      </c>
      <c r="D17" s="6" t="s">
        <v>230</v>
      </c>
      <c r="E17" s="6" t="n">
        <v>0.71</v>
      </c>
      <c r="F17" s="6" t="s">
        <v>231</v>
      </c>
      <c r="G17" s="6" t="n">
        <v>2</v>
      </c>
      <c r="H17" s="6" t="n">
        <v>93.7</v>
      </c>
      <c r="I17" s="6" t="str">
        <f aca="false">IF(E17&gt;=G17,"ALERT","normal")</f>
        <v>normal</v>
      </c>
    </row>
    <row r="18" customFormat="false" ht="15" hidden="false" customHeight="false" outlineLevel="0" collapsed="false">
      <c r="A18" s="6" t="s">
        <v>247</v>
      </c>
      <c r="B18" s="6" t="s">
        <v>228</v>
      </c>
      <c r="C18" s="6" t="s">
        <v>229</v>
      </c>
      <c r="D18" s="6" t="s">
        <v>230</v>
      </c>
      <c r="E18" s="6" t="n">
        <v>0.77</v>
      </c>
      <c r="F18" s="6" t="s">
        <v>231</v>
      </c>
      <c r="G18" s="6" t="n">
        <v>2</v>
      </c>
      <c r="H18" s="6" t="n">
        <v>93.4</v>
      </c>
      <c r="I18" s="6" t="str">
        <f aca="false">IF(E18&gt;=G18,"ALERT","normal")</f>
        <v>normal</v>
      </c>
    </row>
    <row r="19" customFormat="false" ht="15" hidden="false" customHeight="false" outlineLevel="0" collapsed="false">
      <c r="A19" s="6" t="s">
        <v>248</v>
      </c>
      <c r="B19" s="6" t="s">
        <v>228</v>
      </c>
      <c r="C19" s="6" t="s">
        <v>229</v>
      </c>
      <c r="D19" s="6" t="s">
        <v>230</v>
      </c>
      <c r="E19" s="6" t="n">
        <v>0.76</v>
      </c>
      <c r="F19" s="6" t="s">
        <v>231</v>
      </c>
      <c r="G19" s="6" t="n">
        <v>2</v>
      </c>
      <c r="H19" s="6" t="n">
        <v>94.4</v>
      </c>
      <c r="I19" s="6" t="str">
        <f aca="false">IF(E19&gt;=G19,"ALERT","normal")</f>
        <v>normal</v>
      </c>
    </row>
    <row r="20" customFormat="false" ht="15" hidden="false" customHeight="false" outlineLevel="0" collapsed="false">
      <c r="A20" s="6" t="s">
        <v>249</v>
      </c>
      <c r="B20" s="6" t="s">
        <v>228</v>
      </c>
      <c r="C20" s="6" t="s">
        <v>229</v>
      </c>
      <c r="D20" s="6" t="s">
        <v>230</v>
      </c>
      <c r="E20" s="6" t="n">
        <v>0.73</v>
      </c>
      <c r="F20" s="6" t="s">
        <v>231</v>
      </c>
      <c r="G20" s="6" t="n">
        <v>2</v>
      </c>
      <c r="H20" s="6" t="n">
        <v>93.9</v>
      </c>
      <c r="I20" s="6" t="str">
        <f aca="false">IF(E20&gt;=G20,"ALERT","normal")</f>
        <v>normal</v>
      </c>
    </row>
    <row r="21" customFormat="false" ht="15" hidden="false" customHeight="false" outlineLevel="0" collapsed="false">
      <c r="A21" s="6" t="s">
        <v>250</v>
      </c>
      <c r="B21" s="6" t="s">
        <v>228</v>
      </c>
      <c r="C21" s="6" t="s">
        <v>229</v>
      </c>
      <c r="D21" s="6" t="s">
        <v>230</v>
      </c>
      <c r="E21" s="6" t="n">
        <v>0.47</v>
      </c>
      <c r="F21" s="6" t="s">
        <v>231</v>
      </c>
      <c r="G21" s="6" t="n">
        <v>2</v>
      </c>
      <c r="H21" s="6" t="n">
        <v>93.8</v>
      </c>
      <c r="I21" s="6" t="str">
        <f aca="false">IF(E21&gt;=G21,"ALERT","normal")</f>
        <v>normal</v>
      </c>
    </row>
    <row r="22" customFormat="false" ht="15" hidden="false" customHeight="false" outlineLevel="0" collapsed="false">
      <c r="A22" s="6" t="s">
        <v>251</v>
      </c>
      <c r="B22" s="6" t="s">
        <v>228</v>
      </c>
      <c r="C22" s="6" t="s">
        <v>229</v>
      </c>
      <c r="D22" s="6" t="s">
        <v>230</v>
      </c>
      <c r="E22" s="6" t="n">
        <v>0.85</v>
      </c>
      <c r="F22" s="6" t="s">
        <v>231</v>
      </c>
      <c r="G22" s="6" t="n">
        <v>2</v>
      </c>
      <c r="H22" s="6" t="n">
        <v>93.7</v>
      </c>
      <c r="I22" s="6" t="str">
        <f aca="false">IF(E22&gt;=G22,"ALERT","normal")</f>
        <v>normal</v>
      </c>
    </row>
    <row r="23" customFormat="false" ht="15" hidden="false" customHeight="false" outlineLevel="0" collapsed="false">
      <c r="A23" s="6" t="s">
        <v>252</v>
      </c>
      <c r="B23" s="6" t="s">
        <v>228</v>
      </c>
      <c r="C23" s="6" t="s">
        <v>229</v>
      </c>
      <c r="D23" s="6" t="s">
        <v>230</v>
      </c>
      <c r="E23" s="6" t="n">
        <v>1</v>
      </c>
      <c r="F23" s="6" t="s">
        <v>231</v>
      </c>
      <c r="G23" s="6" t="n">
        <v>2</v>
      </c>
      <c r="H23" s="6" t="n">
        <v>93.3</v>
      </c>
      <c r="I23" s="6" t="str">
        <f aca="false">IF(E23&gt;=G23,"ALERT","normal")</f>
        <v>normal</v>
      </c>
    </row>
    <row r="24" customFormat="false" ht="15" hidden="false" customHeight="false" outlineLevel="0" collapsed="false">
      <c r="A24" s="6" t="s">
        <v>253</v>
      </c>
      <c r="B24" s="6" t="s">
        <v>228</v>
      </c>
      <c r="C24" s="6" t="s">
        <v>229</v>
      </c>
      <c r="D24" s="6" t="s">
        <v>230</v>
      </c>
      <c r="E24" s="6" t="n">
        <v>0.89</v>
      </c>
      <c r="F24" s="6" t="s">
        <v>231</v>
      </c>
      <c r="G24" s="6" t="n">
        <v>2</v>
      </c>
      <c r="H24" s="6" t="n">
        <v>93.3</v>
      </c>
      <c r="I24" s="6" t="str">
        <f aca="false">IF(E24&gt;=G24,"ALERT","normal")</f>
        <v>normal</v>
      </c>
    </row>
    <row r="25" customFormat="false" ht="15" hidden="false" customHeight="false" outlineLevel="0" collapsed="false">
      <c r="A25" s="6" t="s">
        <v>254</v>
      </c>
      <c r="B25" s="6" t="s">
        <v>228</v>
      </c>
      <c r="C25" s="6" t="s">
        <v>229</v>
      </c>
      <c r="D25" s="6" t="s">
        <v>230</v>
      </c>
      <c r="E25" s="6" t="n">
        <v>1.28</v>
      </c>
      <c r="F25" s="6" t="s">
        <v>231</v>
      </c>
      <c r="G25" s="6" t="n">
        <v>2</v>
      </c>
      <c r="H25" s="6" t="n">
        <v>92.6</v>
      </c>
      <c r="I25" s="6" t="str">
        <f aca="false">IF(E25&gt;=G25,"ALERT","normal")</f>
        <v>normal</v>
      </c>
    </row>
    <row r="26" customFormat="false" ht="15" hidden="false" customHeight="false" outlineLevel="0" collapsed="false">
      <c r="A26" s="6" t="s">
        <v>255</v>
      </c>
      <c r="B26" s="6" t="s">
        <v>228</v>
      </c>
      <c r="C26" s="6" t="s">
        <v>229</v>
      </c>
      <c r="D26" s="6" t="s">
        <v>230</v>
      </c>
      <c r="E26" s="6" t="n">
        <v>1.02</v>
      </c>
      <c r="F26" s="6" t="s">
        <v>231</v>
      </c>
      <c r="G26" s="6" t="n">
        <v>2</v>
      </c>
      <c r="H26" s="6" t="n">
        <v>92</v>
      </c>
      <c r="I26" s="6" t="str">
        <f aca="false">IF(E26&gt;=G26,"ALERT","normal")</f>
        <v>normal</v>
      </c>
    </row>
    <row r="27" customFormat="false" ht="15" hidden="false" customHeight="false" outlineLevel="0" collapsed="false">
      <c r="A27" s="6" t="s">
        <v>256</v>
      </c>
      <c r="B27" s="6" t="s">
        <v>228</v>
      </c>
      <c r="C27" s="6" t="s">
        <v>229</v>
      </c>
      <c r="D27" s="6" t="s">
        <v>230</v>
      </c>
      <c r="E27" s="6" t="n">
        <v>1.24</v>
      </c>
      <c r="F27" s="6" t="s">
        <v>231</v>
      </c>
      <c r="G27" s="6" t="n">
        <v>2</v>
      </c>
      <c r="H27" s="6" t="n">
        <v>93.1</v>
      </c>
      <c r="I27" s="6" t="str">
        <f aca="false">IF(E27&gt;=G27,"ALERT","normal")</f>
        <v>normal</v>
      </c>
    </row>
    <row r="28" customFormat="false" ht="15" hidden="false" customHeight="false" outlineLevel="0" collapsed="false">
      <c r="A28" s="6" t="s">
        <v>257</v>
      </c>
      <c r="B28" s="6" t="s">
        <v>228</v>
      </c>
      <c r="C28" s="6" t="s">
        <v>229</v>
      </c>
      <c r="D28" s="6" t="s">
        <v>230</v>
      </c>
      <c r="E28" s="6" t="n">
        <v>1.11</v>
      </c>
      <c r="F28" s="6" t="s">
        <v>231</v>
      </c>
      <c r="G28" s="6" t="n">
        <v>2</v>
      </c>
      <c r="H28" s="6" t="n">
        <v>93.1</v>
      </c>
      <c r="I28" s="6" t="str">
        <f aca="false">IF(E28&gt;=G28,"ALERT","normal")</f>
        <v>normal</v>
      </c>
    </row>
    <row r="29" customFormat="false" ht="15" hidden="false" customHeight="false" outlineLevel="0" collapsed="false">
      <c r="A29" s="6" t="s">
        <v>258</v>
      </c>
      <c r="B29" s="6" t="s">
        <v>228</v>
      </c>
      <c r="C29" s="6" t="s">
        <v>229</v>
      </c>
      <c r="D29" s="6" t="s">
        <v>230</v>
      </c>
      <c r="E29" s="6" t="n">
        <v>1.22</v>
      </c>
      <c r="F29" s="6" t="s">
        <v>231</v>
      </c>
      <c r="G29" s="6" t="n">
        <v>2</v>
      </c>
      <c r="H29" s="6" t="n">
        <v>93.4</v>
      </c>
      <c r="I29" s="6" t="str">
        <f aca="false">IF(E29&gt;=G29,"ALERT","normal")</f>
        <v>normal</v>
      </c>
    </row>
    <row r="30" customFormat="false" ht="15" hidden="false" customHeight="false" outlineLevel="0" collapsed="false">
      <c r="A30" s="6" t="s">
        <v>259</v>
      </c>
      <c r="B30" s="6" t="s">
        <v>228</v>
      </c>
      <c r="C30" s="6" t="s">
        <v>229</v>
      </c>
      <c r="D30" s="6" t="s">
        <v>230</v>
      </c>
      <c r="E30" s="6" t="n">
        <v>1.16</v>
      </c>
      <c r="F30" s="6" t="s">
        <v>231</v>
      </c>
      <c r="G30" s="6" t="n">
        <v>2</v>
      </c>
      <c r="H30" s="6" t="n">
        <v>93.5</v>
      </c>
      <c r="I30" s="6" t="str">
        <f aca="false">IF(E30&gt;=G30,"ALERT","normal")</f>
        <v>normal</v>
      </c>
    </row>
    <row r="31" customFormat="false" ht="15" hidden="false" customHeight="false" outlineLevel="0" collapsed="false">
      <c r="A31" s="6" t="s">
        <v>260</v>
      </c>
      <c r="B31" s="6" t="s">
        <v>228</v>
      </c>
      <c r="C31" s="6" t="s">
        <v>229</v>
      </c>
      <c r="D31" s="6" t="s">
        <v>230</v>
      </c>
      <c r="E31" s="6" t="n">
        <v>1.35</v>
      </c>
      <c r="F31" s="6" t="s">
        <v>231</v>
      </c>
      <c r="G31" s="6" t="n">
        <v>2</v>
      </c>
      <c r="H31" s="6" t="n">
        <v>93.5</v>
      </c>
      <c r="I31" s="6" t="str">
        <f aca="false">IF(E31&gt;=G31,"ALERT","normal")</f>
        <v>normal</v>
      </c>
    </row>
    <row r="32" customFormat="false" ht="15" hidden="false" customHeight="false" outlineLevel="0" collapsed="false">
      <c r="A32" s="6" t="s">
        <v>261</v>
      </c>
      <c r="B32" s="6" t="s">
        <v>228</v>
      </c>
      <c r="C32" s="6" t="s">
        <v>229</v>
      </c>
      <c r="D32" s="6" t="s">
        <v>230</v>
      </c>
      <c r="E32" s="6" t="n">
        <v>1.18</v>
      </c>
      <c r="F32" s="6" t="s">
        <v>231</v>
      </c>
      <c r="G32" s="6" t="n">
        <v>2</v>
      </c>
      <c r="H32" s="6" t="n">
        <v>92.1</v>
      </c>
      <c r="I32" s="6" t="str">
        <f aca="false">IF(E32&gt;=G32,"ALERT","normal")</f>
        <v>normal</v>
      </c>
    </row>
    <row r="33" customFormat="false" ht="15" hidden="false" customHeight="false" outlineLevel="0" collapsed="false">
      <c r="A33" s="6" t="s">
        <v>262</v>
      </c>
      <c r="B33" s="6" t="s">
        <v>228</v>
      </c>
      <c r="C33" s="6" t="s">
        <v>229</v>
      </c>
      <c r="D33" s="6" t="s">
        <v>230</v>
      </c>
      <c r="E33" s="6" t="n">
        <v>1.27</v>
      </c>
      <c r="F33" s="6" t="s">
        <v>231</v>
      </c>
      <c r="G33" s="6" t="n">
        <v>2</v>
      </c>
      <c r="H33" s="6" t="n">
        <v>92.3</v>
      </c>
      <c r="I33" s="6" t="str">
        <f aca="false">IF(E33&gt;=G33,"ALERT","normal")</f>
        <v>normal</v>
      </c>
    </row>
    <row r="34" customFormat="false" ht="15" hidden="false" customHeight="false" outlineLevel="0" collapsed="false">
      <c r="A34" s="6" t="s">
        <v>263</v>
      </c>
      <c r="B34" s="6" t="s">
        <v>228</v>
      </c>
      <c r="C34" s="6" t="s">
        <v>229</v>
      </c>
      <c r="D34" s="6" t="s">
        <v>230</v>
      </c>
      <c r="E34" s="6" t="n">
        <v>1.28</v>
      </c>
      <c r="F34" s="6" t="s">
        <v>231</v>
      </c>
      <c r="G34" s="6" t="n">
        <v>2</v>
      </c>
      <c r="H34" s="6" t="n">
        <v>92.7</v>
      </c>
      <c r="I34" s="6" t="str">
        <f aca="false">IF(E34&gt;=G34,"ALERT","normal")</f>
        <v>normal</v>
      </c>
    </row>
    <row r="35" customFormat="false" ht="15" hidden="false" customHeight="false" outlineLevel="0" collapsed="false">
      <c r="A35" s="6" t="s">
        <v>264</v>
      </c>
      <c r="B35" s="6" t="s">
        <v>228</v>
      </c>
      <c r="C35" s="6" t="s">
        <v>229</v>
      </c>
      <c r="D35" s="6" t="s">
        <v>230</v>
      </c>
      <c r="E35" s="6" t="n">
        <v>1.21</v>
      </c>
      <c r="F35" s="6" t="s">
        <v>231</v>
      </c>
      <c r="G35" s="6" t="n">
        <v>2</v>
      </c>
      <c r="H35" s="6" t="n">
        <v>93.6</v>
      </c>
      <c r="I35" s="6" t="str">
        <f aca="false">IF(E35&gt;=G35,"ALERT","normal")</f>
        <v>normal</v>
      </c>
    </row>
    <row r="36" customFormat="false" ht="15" hidden="false" customHeight="false" outlineLevel="0" collapsed="false">
      <c r="A36" s="6" t="s">
        <v>265</v>
      </c>
      <c r="B36" s="6" t="s">
        <v>228</v>
      </c>
      <c r="C36" s="6" t="s">
        <v>229</v>
      </c>
      <c r="D36" s="6" t="s">
        <v>230</v>
      </c>
      <c r="E36" s="6" t="n">
        <v>1.34</v>
      </c>
      <c r="F36" s="6" t="s">
        <v>231</v>
      </c>
      <c r="G36" s="6" t="n">
        <v>2</v>
      </c>
      <c r="H36" s="6" t="n">
        <v>93</v>
      </c>
      <c r="I36" s="6" t="str">
        <f aca="false">IF(E36&gt;=G36,"ALERT","normal")</f>
        <v>normal</v>
      </c>
    </row>
    <row r="37" customFormat="false" ht="15" hidden="false" customHeight="false" outlineLevel="0" collapsed="false">
      <c r="A37" s="6" t="s">
        <v>266</v>
      </c>
      <c r="B37" s="6" t="s">
        <v>228</v>
      </c>
      <c r="C37" s="6" t="s">
        <v>229</v>
      </c>
      <c r="D37" s="6" t="s">
        <v>230</v>
      </c>
      <c r="E37" s="6" t="n">
        <v>1.64</v>
      </c>
      <c r="F37" s="6" t="s">
        <v>231</v>
      </c>
      <c r="G37" s="6" t="n">
        <v>2</v>
      </c>
      <c r="H37" s="6" t="n">
        <v>92.8</v>
      </c>
      <c r="I37" s="6" t="str">
        <f aca="false">IF(E37&gt;=G37,"ALERT","normal")</f>
        <v>normal</v>
      </c>
    </row>
    <row r="38" customFormat="false" ht="15" hidden="false" customHeight="false" outlineLevel="0" collapsed="false">
      <c r="A38" s="6" t="s">
        <v>267</v>
      </c>
      <c r="B38" s="6" t="s">
        <v>228</v>
      </c>
      <c r="C38" s="6" t="s">
        <v>229</v>
      </c>
      <c r="D38" s="6" t="s">
        <v>230</v>
      </c>
      <c r="E38" s="6" t="n">
        <v>1.29</v>
      </c>
      <c r="F38" s="6" t="s">
        <v>231</v>
      </c>
      <c r="G38" s="6" t="n">
        <v>2</v>
      </c>
      <c r="H38" s="6" t="n">
        <v>91.9</v>
      </c>
      <c r="I38" s="6" t="str">
        <f aca="false">IF(E38&gt;=G38,"ALERT","normal")</f>
        <v>normal</v>
      </c>
    </row>
    <row r="39" customFormat="false" ht="15" hidden="false" customHeight="false" outlineLevel="0" collapsed="false">
      <c r="A39" s="6" t="s">
        <v>268</v>
      </c>
      <c r="B39" s="6" t="s">
        <v>228</v>
      </c>
      <c r="C39" s="6" t="s">
        <v>229</v>
      </c>
      <c r="D39" s="6" t="s">
        <v>230</v>
      </c>
      <c r="E39" s="6" t="n">
        <v>1.42</v>
      </c>
      <c r="F39" s="6" t="s">
        <v>231</v>
      </c>
      <c r="G39" s="6" t="n">
        <v>2</v>
      </c>
      <c r="H39" s="6" t="n">
        <v>91.6</v>
      </c>
      <c r="I39" s="6" t="str">
        <f aca="false">IF(E39&gt;=G39,"ALERT","normal")</f>
        <v>normal</v>
      </c>
    </row>
    <row r="40" customFormat="false" ht="15" hidden="false" customHeight="false" outlineLevel="0" collapsed="false">
      <c r="A40" s="6" t="s">
        <v>269</v>
      </c>
      <c r="B40" s="6" t="s">
        <v>228</v>
      </c>
      <c r="C40" s="6" t="s">
        <v>229</v>
      </c>
      <c r="D40" s="6" t="s">
        <v>230</v>
      </c>
      <c r="E40" s="6" t="n">
        <v>1.57</v>
      </c>
      <c r="F40" s="6" t="s">
        <v>231</v>
      </c>
      <c r="G40" s="6" t="n">
        <v>2</v>
      </c>
      <c r="H40" s="6" t="n">
        <v>92.4</v>
      </c>
      <c r="I40" s="6" t="str">
        <f aca="false">IF(E40&gt;=G40,"ALERT","normal")</f>
        <v>normal</v>
      </c>
    </row>
    <row r="41" customFormat="false" ht="15" hidden="false" customHeight="false" outlineLevel="0" collapsed="false">
      <c r="A41" s="6" t="s">
        <v>270</v>
      </c>
      <c r="B41" s="6" t="s">
        <v>228</v>
      </c>
      <c r="C41" s="6" t="s">
        <v>229</v>
      </c>
      <c r="D41" s="6" t="s">
        <v>230</v>
      </c>
      <c r="E41" s="6" t="n">
        <v>1.57</v>
      </c>
      <c r="F41" s="6" t="s">
        <v>231</v>
      </c>
      <c r="G41" s="6" t="n">
        <v>2</v>
      </c>
      <c r="H41" s="6" t="n">
        <v>91.3</v>
      </c>
      <c r="I41" s="6" t="str">
        <f aca="false">IF(E41&gt;=G41,"ALERT","normal")</f>
        <v>normal</v>
      </c>
    </row>
    <row r="42" customFormat="false" ht="15" hidden="false" customHeight="false" outlineLevel="0" collapsed="false">
      <c r="A42" s="6" t="s">
        <v>271</v>
      </c>
      <c r="B42" s="6" t="s">
        <v>228</v>
      </c>
      <c r="C42" s="6" t="s">
        <v>229</v>
      </c>
      <c r="D42" s="6" t="s">
        <v>230</v>
      </c>
      <c r="E42" s="6" t="n">
        <v>1.43</v>
      </c>
      <c r="F42" s="6" t="s">
        <v>231</v>
      </c>
      <c r="G42" s="6" t="n">
        <v>2</v>
      </c>
      <c r="H42" s="6" t="n">
        <v>91.7</v>
      </c>
      <c r="I42" s="6" t="str">
        <f aca="false">IF(E42&gt;=G42,"ALERT","normal")</f>
        <v>normal</v>
      </c>
    </row>
    <row r="43" customFormat="false" ht="15" hidden="false" customHeight="false" outlineLevel="0" collapsed="false">
      <c r="A43" s="6" t="s">
        <v>272</v>
      </c>
      <c r="B43" s="6" t="s">
        <v>228</v>
      </c>
      <c r="C43" s="6" t="s">
        <v>229</v>
      </c>
      <c r="D43" s="6" t="s">
        <v>230</v>
      </c>
      <c r="E43" s="6" t="n">
        <v>1.1</v>
      </c>
      <c r="F43" s="6" t="s">
        <v>231</v>
      </c>
      <c r="G43" s="6" t="n">
        <v>2</v>
      </c>
      <c r="H43" s="6" t="n">
        <v>91.7</v>
      </c>
      <c r="I43" s="6" t="str">
        <f aca="false">IF(E43&gt;=G43,"ALERT","normal")</f>
        <v>normal</v>
      </c>
    </row>
    <row r="44" customFormat="false" ht="15" hidden="false" customHeight="false" outlineLevel="0" collapsed="false">
      <c r="A44" s="6" t="s">
        <v>273</v>
      </c>
      <c r="B44" s="6" t="s">
        <v>228</v>
      </c>
      <c r="C44" s="6" t="s">
        <v>229</v>
      </c>
      <c r="D44" s="6" t="s">
        <v>230</v>
      </c>
      <c r="E44" s="6" t="n">
        <v>1.56</v>
      </c>
      <c r="F44" s="6" t="s">
        <v>231</v>
      </c>
      <c r="G44" s="6" t="n">
        <v>2</v>
      </c>
      <c r="H44" s="6" t="n">
        <v>92.4</v>
      </c>
      <c r="I44" s="6" t="str">
        <f aca="false">IF(E44&gt;=G44,"ALERT","normal")</f>
        <v>normal</v>
      </c>
    </row>
    <row r="45" customFormat="false" ht="15" hidden="false" customHeight="false" outlineLevel="0" collapsed="false">
      <c r="A45" s="6" t="s">
        <v>274</v>
      </c>
      <c r="B45" s="6" t="s">
        <v>228</v>
      </c>
      <c r="C45" s="6" t="s">
        <v>229</v>
      </c>
      <c r="D45" s="6" t="s">
        <v>230</v>
      </c>
      <c r="E45" s="6" t="n">
        <v>1.17</v>
      </c>
      <c r="F45" s="6" t="s">
        <v>231</v>
      </c>
      <c r="G45" s="6" t="n">
        <v>2</v>
      </c>
      <c r="H45" s="6" t="n">
        <v>91.4</v>
      </c>
      <c r="I45" s="6" t="str">
        <f aca="false">IF(E45&gt;=G45,"ALERT","normal")</f>
        <v>normal</v>
      </c>
    </row>
    <row r="46" customFormat="false" ht="15" hidden="false" customHeight="false" outlineLevel="0" collapsed="false">
      <c r="A46" s="6" t="s">
        <v>275</v>
      </c>
      <c r="B46" s="6" t="s">
        <v>228</v>
      </c>
      <c r="C46" s="6" t="s">
        <v>229</v>
      </c>
      <c r="D46" s="6" t="s">
        <v>230</v>
      </c>
      <c r="E46" s="6" t="n">
        <v>1.75</v>
      </c>
      <c r="F46" s="6" t="s">
        <v>231</v>
      </c>
      <c r="G46" s="6" t="n">
        <v>2</v>
      </c>
      <c r="H46" s="6" t="n">
        <v>90.3</v>
      </c>
      <c r="I46" s="6" t="str">
        <f aca="false">IF(E46&gt;=G46,"ALERT","normal")</f>
        <v>normal</v>
      </c>
    </row>
    <row r="47" customFormat="false" ht="15" hidden="false" customHeight="false" outlineLevel="0" collapsed="false">
      <c r="A47" s="6" t="s">
        <v>276</v>
      </c>
      <c r="B47" s="6" t="s">
        <v>228</v>
      </c>
      <c r="C47" s="6" t="s">
        <v>229</v>
      </c>
      <c r="D47" s="6" t="s">
        <v>230</v>
      </c>
      <c r="E47" s="6" t="n">
        <v>1.58</v>
      </c>
      <c r="F47" s="6" t="s">
        <v>231</v>
      </c>
      <c r="G47" s="6" t="n">
        <v>2</v>
      </c>
      <c r="H47" s="6" t="n">
        <v>91.7</v>
      </c>
      <c r="I47" s="6" t="str">
        <f aca="false">IF(E47&gt;=G47,"ALERT","normal")</f>
        <v>normal</v>
      </c>
    </row>
    <row r="48" customFormat="false" ht="15" hidden="false" customHeight="false" outlineLevel="0" collapsed="false">
      <c r="A48" s="6" t="s">
        <v>277</v>
      </c>
      <c r="B48" s="6" t="s">
        <v>228</v>
      </c>
      <c r="C48" s="6" t="s">
        <v>229</v>
      </c>
      <c r="D48" s="6" t="s">
        <v>230</v>
      </c>
      <c r="E48" s="6" t="n">
        <v>1.73</v>
      </c>
      <c r="F48" s="6" t="s">
        <v>231</v>
      </c>
      <c r="G48" s="6" t="n">
        <v>2</v>
      </c>
      <c r="H48" s="6" t="n">
        <v>91</v>
      </c>
      <c r="I48" s="6" t="str">
        <f aca="false">IF(E48&gt;=G48,"ALERT","normal")</f>
        <v>normal</v>
      </c>
    </row>
    <row r="49" customFormat="false" ht="15" hidden="false" customHeight="false" outlineLevel="0" collapsed="false">
      <c r="A49" s="6" t="s">
        <v>278</v>
      </c>
      <c r="B49" s="6" t="s">
        <v>228</v>
      </c>
      <c r="C49" s="6" t="s">
        <v>229</v>
      </c>
      <c r="D49" s="6" t="s">
        <v>230</v>
      </c>
      <c r="E49" s="6" t="n">
        <v>1.47</v>
      </c>
      <c r="F49" s="6" t="s">
        <v>231</v>
      </c>
      <c r="G49" s="6" t="n">
        <v>2</v>
      </c>
      <c r="H49" s="6" t="n">
        <v>91.3</v>
      </c>
      <c r="I49" s="6" t="str">
        <f aca="false">IF(E49&gt;=G49,"ALERT","normal")</f>
        <v>normal</v>
      </c>
    </row>
    <row r="50" customFormat="false" ht="15" hidden="false" customHeight="false" outlineLevel="0" collapsed="false">
      <c r="A50" s="6" t="s">
        <v>227</v>
      </c>
      <c r="B50" s="6" t="s">
        <v>279</v>
      </c>
      <c r="C50" s="6" t="s">
        <v>280</v>
      </c>
      <c r="D50" s="6" t="s">
        <v>281</v>
      </c>
      <c r="E50" s="6" t="n">
        <v>16.91</v>
      </c>
      <c r="F50" s="6" t="s">
        <v>282</v>
      </c>
      <c r="G50" s="6" t="n">
        <v>45</v>
      </c>
      <c r="H50" s="6" t="n">
        <v>95</v>
      </c>
      <c r="I50" s="6" t="str">
        <f aca="false">IF(E50&gt;=G50,"ALERT","normal")</f>
        <v>normal</v>
      </c>
    </row>
    <row r="51" customFormat="false" ht="15" hidden="false" customHeight="false" outlineLevel="0" collapsed="false">
      <c r="A51" s="6" t="s">
        <v>232</v>
      </c>
      <c r="B51" s="6" t="s">
        <v>279</v>
      </c>
      <c r="C51" s="6" t="s">
        <v>280</v>
      </c>
      <c r="D51" s="6" t="s">
        <v>281</v>
      </c>
      <c r="E51" s="6" t="n">
        <v>21.19</v>
      </c>
      <c r="F51" s="6" t="s">
        <v>282</v>
      </c>
      <c r="G51" s="6" t="n">
        <v>45</v>
      </c>
      <c r="H51" s="6" t="n">
        <v>95.8</v>
      </c>
      <c r="I51" s="6" t="str">
        <f aca="false">IF(E51&gt;=G51,"ALERT","normal")</f>
        <v>normal</v>
      </c>
    </row>
    <row r="52" customFormat="false" ht="15" hidden="false" customHeight="false" outlineLevel="0" collapsed="false">
      <c r="A52" s="6" t="s">
        <v>233</v>
      </c>
      <c r="B52" s="6" t="s">
        <v>279</v>
      </c>
      <c r="C52" s="6" t="s">
        <v>280</v>
      </c>
      <c r="D52" s="6" t="s">
        <v>281</v>
      </c>
      <c r="E52" s="6" t="n">
        <v>11.92</v>
      </c>
      <c r="F52" s="6" t="s">
        <v>282</v>
      </c>
      <c r="G52" s="6" t="n">
        <v>45</v>
      </c>
      <c r="H52" s="6" t="n">
        <v>94.1</v>
      </c>
      <c r="I52" s="6" t="str">
        <f aca="false">IF(E52&gt;=G52,"ALERT","normal")</f>
        <v>normal</v>
      </c>
    </row>
    <row r="53" customFormat="false" ht="15" hidden="false" customHeight="false" outlineLevel="0" collapsed="false">
      <c r="A53" s="6" t="s">
        <v>234</v>
      </c>
      <c r="B53" s="6" t="s">
        <v>279</v>
      </c>
      <c r="C53" s="6" t="s">
        <v>280</v>
      </c>
      <c r="D53" s="6" t="s">
        <v>281</v>
      </c>
      <c r="E53" s="6" t="n">
        <v>16</v>
      </c>
      <c r="F53" s="6" t="s">
        <v>282</v>
      </c>
      <c r="G53" s="6" t="n">
        <v>45</v>
      </c>
      <c r="H53" s="6" t="n">
        <v>95.3</v>
      </c>
      <c r="I53" s="6" t="str">
        <f aca="false">IF(E53&gt;=G53,"ALERT","normal")</f>
        <v>normal</v>
      </c>
    </row>
    <row r="54" customFormat="false" ht="15" hidden="false" customHeight="false" outlineLevel="0" collapsed="false">
      <c r="A54" s="6" t="s">
        <v>235</v>
      </c>
      <c r="B54" s="6" t="s">
        <v>279</v>
      </c>
      <c r="C54" s="6" t="s">
        <v>280</v>
      </c>
      <c r="D54" s="6" t="s">
        <v>281</v>
      </c>
      <c r="E54" s="6" t="n">
        <v>20.83</v>
      </c>
      <c r="F54" s="6" t="s">
        <v>282</v>
      </c>
      <c r="G54" s="6" t="n">
        <v>45</v>
      </c>
      <c r="H54" s="6" t="n">
        <v>94.2</v>
      </c>
      <c r="I54" s="6" t="str">
        <f aca="false">IF(E54&gt;=G54,"ALERT","normal")</f>
        <v>normal</v>
      </c>
    </row>
    <row r="55" customFormat="false" ht="15" hidden="false" customHeight="false" outlineLevel="0" collapsed="false">
      <c r="A55" s="6" t="s">
        <v>236</v>
      </c>
      <c r="B55" s="6" t="s">
        <v>279</v>
      </c>
      <c r="C55" s="6" t="s">
        <v>280</v>
      </c>
      <c r="D55" s="6" t="s">
        <v>281</v>
      </c>
      <c r="E55" s="6" t="n">
        <v>15.66</v>
      </c>
      <c r="F55" s="6" t="s">
        <v>282</v>
      </c>
      <c r="G55" s="6" t="n">
        <v>45</v>
      </c>
      <c r="H55" s="6" t="n">
        <v>94.7</v>
      </c>
      <c r="I55" s="6" t="str">
        <f aca="false">IF(E55&gt;=G55,"ALERT","normal")</f>
        <v>normal</v>
      </c>
    </row>
    <row r="56" customFormat="false" ht="15" hidden="false" customHeight="false" outlineLevel="0" collapsed="false">
      <c r="A56" s="6" t="s">
        <v>237</v>
      </c>
      <c r="B56" s="6" t="s">
        <v>279</v>
      </c>
      <c r="C56" s="6" t="s">
        <v>280</v>
      </c>
      <c r="D56" s="6" t="s">
        <v>281</v>
      </c>
      <c r="E56" s="6" t="n">
        <v>11.71</v>
      </c>
      <c r="F56" s="6" t="s">
        <v>282</v>
      </c>
      <c r="G56" s="6" t="n">
        <v>45</v>
      </c>
      <c r="H56" s="6" t="n">
        <v>94.4</v>
      </c>
      <c r="I56" s="6" t="str">
        <f aca="false">IF(E56&gt;=G56,"ALERT","normal")</f>
        <v>normal</v>
      </c>
    </row>
    <row r="57" customFormat="false" ht="15" hidden="false" customHeight="false" outlineLevel="0" collapsed="false">
      <c r="A57" s="6" t="s">
        <v>238</v>
      </c>
      <c r="B57" s="6" t="s">
        <v>279</v>
      </c>
      <c r="C57" s="6" t="s">
        <v>280</v>
      </c>
      <c r="D57" s="6" t="s">
        <v>281</v>
      </c>
      <c r="E57" s="6" t="n">
        <v>20.84</v>
      </c>
      <c r="F57" s="6" t="s">
        <v>282</v>
      </c>
      <c r="G57" s="6" t="n">
        <v>45</v>
      </c>
      <c r="H57" s="6" t="n">
        <v>94</v>
      </c>
      <c r="I57" s="6" t="str">
        <f aca="false">IF(E57&gt;=G57,"ALERT","normal")</f>
        <v>normal</v>
      </c>
    </row>
    <row r="58" customFormat="false" ht="15" hidden="false" customHeight="false" outlineLevel="0" collapsed="false">
      <c r="A58" s="6" t="s">
        <v>239</v>
      </c>
      <c r="B58" s="6" t="s">
        <v>279</v>
      </c>
      <c r="C58" s="6" t="s">
        <v>280</v>
      </c>
      <c r="D58" s="6" t="s">
        <v>281</v>
      </c>
      <c r="E58" s="6" t="n">
        <v>22.69</v>
      </c>
      <c r="F58" s="6" t="s">
        <v>282</v>
      </c>
      <c r="G58" s="6" t="n">
        <v>45</v>
      </c>
      <c r="H58" s="6" t="n">
        <v>93.9</v>
      </c>
      <c r="I58" s="6" t="str">
        <f aca="false">IF(E58&gt;=G58,"ALERT","normal")</f>
        <v>normal</v>
      </c>
    </row>
    <row r="59" customFormat="false" ht="15" hidden="false" customHeight="false" outlineLevel="0" collapsed="false">
      <c r="A59" s="6" t="s">
        <v>240</v>
      </c>
      <c r="B59" s="6" t="s">
        <v>279</v>
      </c>
      <c r="C59" s="6" t="s">
        <v>280</v>
      </c>
      <c r="D59" s="6" t="s">
        <v>281</v>
      </c>
      <c r="E59" s="6" t="n">
        <v>18.04</v>
      </c>
      <c r="F59" s="6" t="s">
        <v>282</v>
      </c>
      <c r="G59" s="6" t="n">
        <v>45</v>
      </c>
      <c r="H59" s="6" t="n">
        <v>94.4</v>
      </c>
      <c r="I59" s="6" t="str">
        <f aca="false">IF(E59&gt;=G59,"ALERT","normal")</f>
        <v>normal</v>
      </c>
    </row>
    <row r="60" customFormat="false" ht="15" hidden="false" customHeight="false" outlineLevel="0" collapsed="false">
      <c r="A60" s="6" t="s">
        <v>241</v>
      </c>
      <c r="B60" s="6" t="s">
        <v>279</v>
      </c>
      <c r="C60" s="6" t="s">
        <v>280</v>
      </c>
      <c r="D60" s="6" t="s">
        <v>281</v>
      </c>
      <c r="E60" s="6" t="n">
        <v>10.4</v>
      </c>
      <c r="F60" s="6" t="s">
        <v>282</v>
      </c>
      <c r="G60" s="6" t="n">
        <v>45</v>
      </c>
      <c r="H60" s="6" t="n">
        <v>94.7</v>
      </c>
      <c r="I60" s="6" t="str">
        <f aca="false">IF(E60&gt;=G60,"ALERT","normal")</f>
        <v>normal</v>
      </c>
    </row>
    <row r="61" customFormat="false" ht="15" hidden="false" customHeight="false" outlineLevel="0" collapsed="false">
      <c r="A61" s="6" t="s">
        <v>242</v>
      </c>
      <c r="B61" s="6" t="s">
        <v>279</v>
      </c>
      <c r="C61" s="6" t="s">
        <v>280</v>
      </c>
      <c r="D61" s="6" t="s">
        <v>281</v>
      </c>
      <c r="E61" s="6" t="n">
        <v>21.09</v>
      </c>
      <c r="F61" s="6" t="s">
        <v>282</v>
      </c>
      <c r="G61" s="6" t="n">
        <v>45</v>
      </c>
      <c r="H61" s="6" t="n">
        <v>94.1</v>
      </c>
      <c r="I61" s="6" t="str">
        <f aca="false">IF(E61&gt;=G61,"ALERT","normal")</f>
        <v>normal</v>
      </c>
    </row>
    <row r="62" customFormat="false" ht="15" hidden="false" customHeight="false" outlineLevel="0" collapsed="false">
      <c r="A62" s="6" t="s">
        <v>243</v>
      </c>
      <c r="B62" s="6" t="s">
        <v>279</v>
      </c>
      <c r="C62" s="6" t="s">
        <v>280</v>
      </c>
      <c r="D62" s="6" t="s">
        <v>281</v>
      </c>
      <c r="E62" s="6" t="n">
        <v>11.65</v>
      </c>
      <c r="F62" s="6" t="s">
        <v>282</v>
      </c>
      <c r="G62" s="6" t="n">
        <v>45</v>
      </c>
      <c r="H62" s="6" t="n">
        <v>94.1</v>
      </c>
      <c r="I62" s="6" t="str">
        <f aca="false">IF(E62&gt;=G62,"ALERT","normal")</f>
        <v>normal</v>
      </c>
    </row>
    <row r="63" customFormat="false" ht="15" hidden="false" customHeight="false" outlineLevel="0" collapsed="false">
      <c r="A63" s="6" t="s">
        <v>244</v>
      </c>
      <c r="B63" s="6" t="s">
        <v>279</v>
      </c>
      <c r="C63" s="6" t="s">
        <v>280</v>
      </c>
      <c r="D63" s="6" t="s">
        <v>281</v>
      </c>
      <c r="E63" s="6" t="n">
        <v>19.55</v>
      </c>
      <c r="F63" s="6" t="s">
        <v>282</v>
      </c>
      <c r="G63" s="6" t="n">
        <v>45</v>
      </c>
      <c r="H63" s="6" t="n">
        <v>94.2</v>
      </c>
      <c r="I63" s="6" t="str">
        <f aca="false">IF(E63&gt;=G63,"ALERT","normal")</f>
        <v>normal</v>
      </c>
    </row>
    <row r="64" customFormat="false" ht="15" hidden="false" customHeight="false" outlineLevel="0" collapsed="false">
      <c r="A64" s="6" t="s">
        <v>245</v>
      </c>
      <c r="B64" s="6" t="s">
        <v>279</v>
      </c>
      <c r="C64" s="6" t="s">
        <v>280</v>
      </c>
      <c r="D64" s="6" t="s">
        <v>281</v>
      </c>
      <c r="E64" s="6" t="n">
        <v>14.79</v>
      </c>
      <c r="F64" s="6" t="s">
        <v>282</v>
      </c>
      <c r="G64" s="6" t="n">
        <v>45</v>
      </c>
      <c r="H64" s="6" t="n">
        <v>93.4</v>
      </c>
      <c r="I64" s="6" t="str">
        <f aca="false">IF(E64&gt;=G64,"ALERT","normal")</f>
        <v>normal</v>
      </c>
    </row>
    <row r="65" customFormat="false" ht="15" hidden="false" customHeight="false" outlineLevel="0" collapsed="false">
      <c r="A65" s="6" t="s">
        <v>246</v>
      </c>
      <c r="B65" s="6" t="s">
        <v>279</v>
      </c>
      <c r="C65" s="6" t="s">
        <v>280</v>
      </c>
      <c r="D65" s="6" t="s">
        <v>281</v>
      </c>
      <c r="E65" s="6" t="n">
        <v>13.72</v>
      </c>
      <c r="F65" s="6" t="s">
        <v>282</v>
      </c>
      <c r="G65" s="6" t="n">
        <v>45</v>
      </c>
      <c r="H65" s="6" t="n">
        <v>94.2</v>
      </c>
      <c r="I65" s="6" t="str">
        <f aca="false">IF(E65&gt;=G65,"ALERT","normal")</f>
        <v>normal</v>
      </c>
    </row>
    <row r="66" customFormat="false" ht="15" hidden="false" customHeight="false" outlineLevel="0" collapsed="false">
      <c r="A66" s="6" t="s">
        <v>247</v>
      </c>
      <c r="B66" s="6" t="s">
        <v>279</v>
      </c>
      <c r="C66" s="6" t="s">
        <v>280</v>
      </c>
      <c r="D66" s="6" t="s">
        <v>281</v>
      </c>
      <c r="E66" s="6" t="n">
        <v>16.62</v>
      </c>
      <c r="F66" s="6" t="s">
        <v>282</v>
      </c>
      <c r="G66" s="6" t="n">
        <v>45</v>
      </c>
      <c r="H66" s="6" t="n">
        <v>94.1</v>
      </c>
      <c r="I66" s="6" t="str">
        <f aca="false">IF(E66&gt;=G66,"ALERT","normal")</f>
        <v>normal</v>
      </c>
    </row>
    <row r="67" customFormat="false" ht="15" hidden="false" customHeight="false" outlineLevel="0" collapsed="false">
      <c r="A67" s="6" t="s">
        <v>248</v>
      </c>
      <c r="B67" s="6" t="s">
        <v>279</v>
      </c>
      <c r="C67" s="6" t="s">
        <v>280</v>
      </c>
      <c r="D67" s="6" t="s">
        <v>281</v>
      </c>
      <c r="E67" s="6" t="n">
        <v>17.68</v>
      </c>
      <c r="F67" s="6" t="s">
        <v>282</v>
      </c>
      <c r="G67" s="6" t="n">
        <v>45</v>
      </c>
      <c r="H67" s="6" t="n">
        <v>94.9</v>
      </c>
      <c r="I67" s="6" t="str">
        <f aca="false">IF(E67&gt;=G67,"ALERT","normal")</f>
        <v>normal</v>
      </c>
    </row>
    <row r="68" customFormat="false" ht="15" hidden="false" customHeight="false" outlineLevel="0" collapsed="false">
      <c r="A68" s="6" t="s">
        <v>249</v>
      </c>
      <c r="B68" s="6" t="s">
        <v>279</v>
      </c>
      <c r="C68" s="6" t="s">
        <v>280</v>
      </c>
      <c r="D68" s="6" t="s">
        <v>281</v>
      </c>
      <c r="E68" s="6" t="n">
        <v>15.86</v>
      </c>
      <c r="F68" s="6" t="s">
        <v>282</v>
      </c>
      <c r="G68" s="6" t="n">
        <v>45</v>
      </c>
      <c r="H68" s="6" t="n">
        <v>93.4</v>
      </c>
      <c r="I68" s="6" t="str">
        <f aca="false">IF(E68&gt;=G68,"ALERT","normal")</f>
        <v>normal</v>
      </c>
    </row>
    <row r="69" customFormat="false" ht="15" hidden="false" customHeight="false" outlineLevel="0" collapsed="false">
      <c r="A69" s="6" t="s">
        <v>250</v>
      </c>
      <c r="B69" s="6" t="s">
        <v>279</v>
      </c>
      <c r="C69" s="6" t="s">
        <v>280</v>
      </c>
      <c r="D69" s="6" t="s">
        <v>281</v>
      </c>
      <c r="E69" s="6" t="n">
        <v>20.81</v>
      </c>
      <c r="F69" s="6" t="s">
        <v>282</v>
      </c>
      <c r="G69" s="6" t="n">
        <v>45</v>
      </c>
      <c r="H69" s="6" t="n">
        <v>93.3</v>
      </c>
      <c r="I69" s="6" t="str">
        <f aca="false">IF(E69&gt;=G69,"ALERT","normal")</f>
        <v>normal</v>
      </c>
    </row>
    <row r="70" customFormat="false" ht="15" hidden="false" customHeight="false" outlineLevel="0" collapsed="false">
      <c r="A70" s="6" t="s">
        <v>251</v>
      </c>
      <c r="B70" s="6" t="s">
        <v>279</v>
      </c>
      <c r="C70" s="6" t="s">
        <v>280</v>
      </c>
      <c r="D70" s="6" t="s">
        <v>281</v>
      </c>
      <c r="E70" s="6" t="n">
        <v>16.7</v>
      </c>
      <c r="F70" s="6" t="s">
        <v>282</v>
      </c>
      <c r="G70" s="6" t="n">
        <v>45</v>
      </c>
      <c r="H70" s="6" t="n">
        <v>93.8</v>
      </c>
      <c r="I70" s="6" t="str">
        <f aca="false">IF(E70&gt;=G70,"ALERT","normal")</f>
        <v>normal</v>
      </c>
    </row>
    <row r="71" customFormat="false" ht="15" hidden="false" customHeight="false" outlineLevel="0" collapsed="false">
      <c r="A71" s="6" t="s">
        <v>252</v>
      </c>
      <c r="B71" s="6" t="s">
        <v>279</v>
      </c>
      <c r="C71" s="6" t="s">
        <v>280</v>
      </c>
      <c r="D71" s="6" t="s">
        <v>281</v>
      </c>
      <c r="E71" s="6" t="n">
        <v>22.43</v>
      </c>
      <c r="F71" s="6" t="s">
        <v>282</v>
      </c>
      <c r="G71" s="6" t="n">
        <v>45</v>
      </c>
      <c r="H71" s="6" t="n">
        <v>93.7</v>
      </c>
      <c r="I71" s="6" t="str">
        <f aca="false">IF(E71&gt;=G71,"ALERT","normal")</f>
        <v>normal</v>
      </c>
    </row>
    <row r="72" customFormat="false" ht="15" hidden="false" customHeight="false" outlineLevel="0" collapsed="false">
      <c r="A72" s="6" t="s">
        <v>253</v>
      </c>
      <c r="B72" s="6" t="s">
        <v>279</v>
      </c>
      <c r="C72" s="6" t="s">
        <v>280</v>
      </c>
      <c r="D72" s="6" t="s">
        <v>281</v>
      </c>
      <c r="E72" s="6" t="n">
        <v>19.66</v>
      </c>
      <c r="F72" s="6" t="s">
        <v>282</v>
      </c>
      <c r="G72" s="6" t="n">
        <v>45</v>
      </c>
      <c r="H72" s="6" t="n">
        <v>93</v>
      </c>
      <c r="I72" s="6" t="str">
        <f aca="false">IF(E72&gt;=G72,"ALERT","normal")</f>
        <v>normal</v>
      </c>
    </row>
    <row r="73" customFormat="false" ht="15" hidden="false" customHeight="false" outlineLevel="0" collapsed="false">
      <c r="A73" s="6" t="s">
        <v>254</v>
      </c>
      <c r="B73" s="6" t="s">
        <v>279</v>
      </c>
      <c r="C73" s="6" t="s">
        <v>280</v>
      </c>
      <c r="D73" s="6" t="s">
        <v>281</v>
      </c>
      <c r="E73" s="6" t="n">
        <v>15.76</v>
      </c>
      <c r="F73" s="6" t="s">
        <v>282</v>
      </c>
      <c r="G73" s="6" t="n">
        <v>45</v>
      </c>
      <c r="H73" s="6" t="n">
        <v>93</v>
      </c>
      <c r="I73" s="6" t="str">
        <f aca="false">IF(E73&gt;=G73,"ALERT","normal")</f>
        <v>normal</v>
      </c>
    </row>
    <row r="74" customFormat="false" ht="15" hidden="false" customHeight="false" outlineLevel="0" collapsed="false">
      <c r="A74" s="6" t="s">
        <v>255</v>
      </c>
      <c r="B74" s="6" t="s">
        <v>279</v>
      </c>
      <c r="C74" s="6" t="s">
        <v>280</v>
      </c>
      <c r="D74" s="6" t="s">
        <v>281</v>
      </c>
      <c r="E74" s="6" t="n">
        <v>15.11</v>
      </c>
      <c r="F74" s="6" t="s">
        <v>282</v>
      </c>
      <c r="G74" s="6" t="n">
        <v>45</v>
      </c>
      <c r="H74" s="6" t="n">
        <v>93.4</v>
      </c>
      <c r="I74" s="6" t="str">
        <f aca="false">IF(E74&gt;=G74,"ALERT","normal")</f>
        <v>normal</v>
      </c>
    </row>
    <row r="75" customFormat="false" ht="15" hidden="false" customHeight="false" outlineLevel="0" collapsed="false">
      <c r="A75" s="6" t="s">
        <v>256</v>
      </c>
      <c r="B75" s="6" t="s">
        <v>279</v>
      </c>
      <c r="C75" s="6" t="s">
        <v>280</v>
      </c>
      <c r="D75" s="6" t="s">
        <v>281</v>
      </c>
      <c r="E75" s="6" t="n">
        <v>12.01</v>
      </c>
      <c r="F75" s="6" t="s">
        <v>282</v>
      </c>
      <c r="G75" s="6" t="n">
        <v>45</v>
      </c>
      <c r="H75" s="6" t="n">
        <v>92.6</v>
      </c>
      <c r="I75" s="6" t="str">
        <f aca="false">IF(E75&gt;=G75,"ALERT","normal")</f>
        <v>normal</v>
      </c>
    </row>
    <row r="76" customFormat="false" ht="15" hidden="false" customHeight="false" outlineLevel="0" collapsed="false">
      <c r="A76" s="6" t="s">
        <v>257</v>
      </c>
      <c r="B76" s="6" t="s">
        <v>279</v>
      </c>
      <c r="C76" s="6" t="s">
        <v>280</v>
      </c>
      <c r="D76" s="6" t="s">
        <v>281</v>
      </c>
      <c r="E76" s="6" t="n">
        <v>19.79</v>
      </c>
      <c r="F76" s="6" t="s">
        <v>282</v>
      </c>
      <c r="G76" s="6" t="n">
        <v>45</v>
      </c>
      <c r="H76" s="6" t="n">
        <v>92.7</v>
      </c>
      <c r="I76" s="6" t="str">
        <f aca="false">IF(E76&gt;=G76,"ALERT","normal")</f>
        <v>normal</v>
      </c>
    </row>
    <row r="77" customFormat="false" ht="15" hidden="false" customHeight="false" outlineLevel="0" collapsed="false">
      <c r="A77" s="6" t="s">
        <v>258</v>
      </c>
      <c r="B77" s="6" t="s">
        <v>279</v>
      </c>
      <c r="C77" s="6" t="s">
        <v>280</v>
      </c>
      <c r="D77" s="6" t="s">
        <v>281</v>
      </c>
      <c r="E77" s="6" t="n">
        <v>17.23</v>
      </c>
      <c r="F77" s="6" t="s">
        <v>282</v>
      </c>
      <c r="G77" s="6" t="n">
        <v>45</v>
      </c>
      <c r="H77" s="6" t="n">
        <v>92.9</v>
      </c>
      <c r="I77" s="6" t="str">
        <f aca="false">IF(E77&gt;=G77,"ALERT","normal")</f>
        <v>normal</v>
      </c>
    </row>
    <row r="78" customFormat="false" ht="15" hidden="false" customHeight="false" outlineLevel="0" collapsed="false">
      <c r="A78" s="6" t="s">
        <v>259</v>
      </c>
      <c r="B78" s="6" t="s">
        <v>279</v>
      </c>
      <c r="C78" s="6" t="s">
        <v>280</v>
      </c>
      <c r="D78" s="6" t="s">
        <v>281</v>
      </c>
      <c r="E78" s="6" t="n">
        <v>9.19</v>
      </c>
      <c r="F78" s="6" t="s">
        <v>282</v>
      </c>
      <c r="G78" s="6" t="n">
        <v>45</v>
      </c>
      <c r="H78" s="6" t="n">
        <v>93.3</v>
      </c>
      <c r="I78" s="6" t="str">
        <f aca="false">IF(E78&gt;=G78,"ALERT","normal")</f>
        <v>normal</v>
      </c>
    </row>
    <row r="79" customFormat="false" ht="15" hidden="false" customHeight="false" outlineLevel="0" collapsed="false">
      <c r="A79" s="6" t="s">
        <v>260</v>
      </c>
      <c r="B79" s="6" t="s">
        <v>279</v>
      </c>
      <c r="C79" s="6" t="s">
        <v>280</v>
      </c>
      <c r="D79" s="6" t="s">
        <v>281</v>
      </c>
      <c r="E79" s="6" t="n">
        <v>16.56</v>
      </c>
      <c r="F79" s="6" t="s">
        <v>282</v>
      </c>
      <c r="G79" s="6" t="n">
        <v>45</v>
      </c>
      <c r="H79" s="6" t="n">
        <v>92.4</v>
      </c>
      <c r="I79" s="6" t="str">
        <f aca="false">IF(E79&gt;=G79,"ALERT","normal")</f>
        <v>normal</v>
      </c>
    </row>
    <row r="80" customFormat="false" ht="15" hidden="false" customHeight="false" outlineLevel="0" collapsed="false">
      <c r="A80" s="6" t="s">
        <v>261</v>
      </c>
      <c r="B80" s="6" t="s">
        <v>279</v>
      </c>
      <c r="C80" s="6" t="s">
        <v>280</v>
      </c>
      <c r="D80" s="6" t="s">
        <v>281</v>
      </c>
      <c r="E80" s="6" t="n">
        <v>15.12</v>
      </c>
      <c r="F80" s="6" t="s">
        <v>282</v>
      </c>
      <c r="G80" s="6" t="n">
        <v>45</v>
      </c>
      <c r="H80" s="6" t="n">
        <v>91.7</v>
      </c>
      <c r="I80" s="6" t="str">
        <f aca="false">IF(E80&gt;=G80,"ALERT","normal")</f>
        <v>normal</v>
      </c>
    </row>
    <row r="81" customFormat="false" ht="15" hidden="false" customHeight="false" outlineLevel="0" collapsed="false">
      <c r="A81" s="6" t="s">
        <v>262</v>
      </c>
      <c r="B81" s="6" t="s">
        <v>279</v>
      </c>
      <c r="C81" s="6" t="s">
        <v>280</v>
      </c>
      <c r="D81" s="6" t="s">
        <v>281</v>
      </c>
      <c r="E81" s="6" t="n">
        <v>25.05</v>
      </c>
      <c r="F81" s="6" t="s">
        <v>282</v>
      </c>
      <c r="G81" s="6" t="n">
        <v>45</v>
      </c>
      <c r="H81" s="6" t="n">
        <v>91.6</v>
      </c>
      <c r="I81" s="6" t="str">
        <f aca="false">IF(E81&gt;=G81,"ALERT","normal")</f>
        <v>normal</v>
      </c>
    </row>
    <row r="82" customFormat="false" ht="15" hidden="false" customHeight="false" outlineLevel="0" collapsed="false">
      <c r="A82" s="6" t="s">
        <v>263</v>
      </c>
      <c r="B82" s="6" t="s">
        <v>279</v>
      </c>
      <c r="C82" s="6" t="s">
        <v>280</v>
      </c>
      <c r="D82" s="6" t="s">
        <v>281</v>
      </c>
      <c r="E82" s="6" t="n">
        <v>11.96</v>
      </c>
      <c r="F82" s="6" t="s">
        <v>282</v>
      </c>
      <c r="G82" s="6" t="n">
        <v>45</v>
      </c>
      <c r="H82" s="6" t="n">
        <v>91.8</v>
      </c>
      <c r="I82" s="6" t="str">
        <f aca="false">IF(E82&gt;=G82,"ALERT","normal")</f>
        <v>normal</v>
      </c>
    </row>
    <row r="83" customFormat="false" ht="15" hidden="false" customHeight="false" outlineLevel="0" collapsed="false">
      <c r="A83" s="6" t="s">
        <v>264</v>
      </c>
      <c r="B83" s="6" t="s">
        <v>279</v>
      </c>
      <c r="C83" s="6" t="s">
        <v>280</v>
      </c>
      <c r="D83" s="6" t="s">
        <v>281</v>
      </c>
      <c r="E83" s="6" t="n">
        <v>13.03</v>
      </c>
      <c r="F83" s="6" t="s">
        <v>282</v>
      </c>
      <c r="G83" s="6" t="n">
        <v>45</v>
      </c>
      <c r="H83" s="6" t="n">
        <v>91.7</v>
      </c>
      <c r="I83" s="6" t="str">
        <f aca="false">IF(E83&gt;=G83,"ALERT","normal")</f>
        <v>normal</v>
      </c>
    </row>
    <row r="84" customFormat="false" ht="15" hidden="false" customHeight="false" outlineLevel="0" collapsed="false">
      <c r="A84" s="6" t="s">
        <v>265</v>
      </c>
      <c r="B84" s="6" t="s">
        <v>279</v>
      </c>
      <c r="C84" s="6" t="s">
        <v>280</v>
      </c>
      <c r="D84" s="6" t="s">
        <v>281</v>
      </c>
      <c r="E84" s="6" t="n">
        <v>23.26</v>
      </c>
      <c r="F84" s="6" t="s">
        <v>282</v>
      </c>
      <c r="G84" s="6" t="n">
        <v>45</v>
      </c>
      <c r="H84" s="6" t="n">
        <v>92.2</v>
      </c>
      <c r="I84" s="6" t="str">
        <f aca="false">IF(E84&gt;=G84,"ALERT","normal")</f>
        <v>normal</v>
      </c>
    </row>
    <row r="85" customFormat="false" ht="15" hidden="false" customHeight="false" outlineLevel="0" collapsed="false">
      <c r="A85" s="6" t="s">
        <v>266</v>
      </c>
      <c r="B85" s="6" t="s">
        <v>279</v>
      </c>
      <c r="C85" s="6" t="s">
        <v>280</v>
      </c>
      <c r="D85" s="6" t="s">
        <v>281</v>
      </c>
      <c r="E85" s="6" t="n">
        <v>24.27</v>
      </c>
      <c r="F85" s="6" t="s">
        <v>282</v>
      </c>
      <c r="G85" s="6" t="n">
        <v>45</v>
      </c>
      <c r="H85" s="6" t="n">
        <v>91.6</v>
      </c>
      <c r="I85" s="6" t="str">
        <f aca="false">IF(E85&gt;=G85,"ALERT","normal")</f>
        <v>normal</v>
      </c>
    </row>
    <row r="86" customFormat="false" ht="15" hidden="false" customHeight="false" outlineLevel="0" collapsed="false">
      <c r="A86" s="6" t="s">
        <v>267</v>
      </c>
      <c r="B86" s="6" t="s">
        <v>279</v>
      </c>
      <c r="C86" s="6" t="s">
        <v>280</v>
      </c>
      <c r="D86" s="6" t="s">
        <v>281</v>
      </c>
      <c r="E86" s="6" t="n">
        <v>15.89</v>
      </c>
      <c r="F86" s="6" t="s">
        <v>282</v>
      </c>
      <c r="G86" s="6" t="n">
        <v>45</v>
      </c>
      <c r="H86" s="6" t="n">
        <v>91.8</v>
      </c>
      <c r="I86" s="6" t="str">
        <f aca="false">IF(E86&gt;=G86,"ALERT","normal")</f>
        <v>normal</v>
      </c>
    </row>
    <row r="87" customFormat="false" ht="15" hidden="false" customHeight="false" outlineLevel="0" collapsed="false">
      <c r="A87" s="6" t="s">
        <v>268</v>
      </c>
      <c r="B87" s="6" t="s">
        <v>279</v>
      </c>
      <c r="C87" s="6" t="s">
        <v>280</v>
      </c>
      <c r="D87" s="6" t="s">
        <v>281</v>
      </c>
      <c r="E87" s="6" t="n">
        <v>16.36</v>
      </c>
      <c r="F87" s="6" t="s">
        <v>282</v>
      </c>
      <c r="G87" s="6" t="n">
        <v>45</v>
      </c>
      <c r="H87" s="6" t="n">
        <v>91.7</v>
      </c>
      <c r="I87" s="6" t="str">
        <f aca="false">IF(E87&gt;=G87,"ALERT","normal")</f>
        <v>normal</v>
      </c>
    </row>
    <row r="88" customFormat="false" ht="15" hidden="false" customHeight="false" outlineLevel="0" collapsed="false">
      <c r="A88" s="6" t="s">
        <v>269</v>
      </c>
      <c r="B88" s="6" t="s">
        <v>279</v>
      </c>
      <c r="C88" s="6" t="s">
        <v>280</v>
      </c>
      <c r="D88" s="6" t="s">
        <v>281</v>
      </c>
      <c r="E88" s="6" t="n">
        <v>21.38</v>
      </c>
      <c r="F88" s="6" t="s">
        <v>282</v>
      </c>
      <c r="G88" s="6" t="n">
        <v>45</v>
      </c>
      <c r="H88" s="6" t="n">
        <v>91.7</v>
      </c>
      <c r="I88" s="6" t="str">
        <f aca="false">IF(E88&gt;=G88,"ALERT","normal")</f>
        <v>normal</v>
      </c>
    </row>
    <row r="89" customFormat="false" ht="15" hidden="false" customHeight="false" outlineLevel="0" collapsed="false">
      <c r="A89" s="6" t="s">
        <v>270</v>
      </c>
      <c r="B89" s="6" t="s">
        <v>279</v>
      </c>
      <c r="C89" s="6" t="s">
        <v>280</v>
      </c>
      <c r="D89" s="6" t="s">
        <v>281</v>
      </c>
      <c r="E89" s="6" t="n">
        <v>9.63</v>
      </c>
      <c r="F89" s="6" t="s">
        <v>282</v>
      </c>
      <c r="G89" s="6" t="n">
        <v>45</v>
      </c>
      <c r="H89" s="6" t="n">
        <v>92.5</v>
      </c>
      <c r="I89" s="6" t="str">
        <f aca="false">IF(E89&gt;=G89,"ALERT","normal")</f>
        <v>normal</v>
      </c>
    </row>
    <row r="90" customFormat="false" ht="15" hidden="false" customHeight="false" outlineLevel="0" collapsed="false">
      <c r="A90" s="6" t="s">
        <v>271</v>
      </c>
      <c r="B90" s="6" t="s">
        <v>279</v>
      </c>
      <c r="C90" s="6" t="s">
        <v>280</v>
      </c>
      <c r="D90" s="6" t="s">
        <v>281</v>
      </c>
      <c r="E90" s="6" t="n">
        <v>11.52</v>
      </c>
      <c r="F90" s="6" t="s">
        <v>282</v>
      </c>
      <c r="G90" s="6" t="n">
        <v>45</v>
      </c>
      <c r="H90" s="6" t="n">
        <v>92.1</v>
      </c>
      <c r="I90" s="6" t="str">
        <f aca="false">IF(E90&gt;=G90,"ALERT","normal")</f>
        <v>normal</v>
      </c>
    </row>
    <row r="91" customFormat="false" ht="15" hidden="false" customHeight="false" outlineLevel="0" collapsed="false">
      <c r="A91" s="6" t="s">
        <v>272</v>
      </c>
      <c r="B91" s="6" t="s">
        <v>279</v>
      </c>
      <c r="C91" s="6" t="s">
        <v>280</v>
      </c>
      <c r="D91" s="6" t="s">
        <v>281</v>
      </c>
      <c r="E91" s="6" t="n">
        <v>17.87</v>
      </c>
      <c r="F91" s="6" t="s">
        <v>282</v>
      </c>
      <c r="G91" s="6" t="n">
        <v>45</v>
      </c>
      <c r="H91" s="6" t="n">
        <v>91.7</v>
      </c>
      <c r="I91" s="6" t="str">
        <f aca="false">IF(E91&gt;=G91,"ALERT","normal")</f>
        <v>normal</v>
      </c>
    </row>
    <row r="92" customFormat="false" ht="15" hidden="false" customHeight="false" outlineLevel="0" collapsed="false">
      <c r="A92" s="6" t="s">
        <v>273</v>
      </c>
      <c r="B92" s="6" t="s">
        <v>279</v>
      </c>
      <c r="C92" s="6" t="s">
        <v>280</v>
      </c>
      <c r="D92" s="6" t="s">
        <v>281</v>
      </c>
      <c r="E92" s="6" t="n">
        <v>25.21</v>
      </c>
      <c r="F92" s="6" t="s">
        <v>282</v>
      </c>
      <c r="G92" s="6" t="n">
        <v>45</v>
      </c>
      <c r="H92" s="6" t="n">
        <v>91.4</v>
      </c>
      <c r="I92" s="6" t="str">
        <f aca="false">IF(E92&gt;=G92,"ALERT","normal")</f>
        <v>normal</v>
      </c>
    </row>
    <row r="93" customFormat="false" ht="15" hidden="false" customHeight="false" outlineLevel="0" collapsed="false">
      <c r="A93" s="6" t="s">
        <v>274</v>
      </c>
      <c r="B93" s="6" t="s">
        <v>279</v>
      </c>
      <c r="C93" s="6" t="s">
        <v>280</v>
      </c>
      <c r="D93" s="6" t="s">
        <v>281</v>
      </c>
      <c r="E93" s="6" t="n">
        <v>17.29</v>
      </c>
      <c r="F93" s="6" t="s">
        <v>282</v>
      </c>
      <c r="G93" s="6" t="n">
        <v>45</v>
      </c>
      <c r="H93" s="6" t="n">
        <v>91.3</v>
      </c>
      <c r="I93" s="6" t="str">
        <f aca="false">IF(E93&gt;=G93,"ALERT","normal")</f>
        <v>normal</v>
      </c>
    </row>
    <row r="94" customFormat="false" ht="15" hidden="false" customHeight="false" outlineLevel="0" collapsed="false">
      <c r="A94" s="6" t="s">
        <v>275</v>
      </c>
      <c r="B94" s="6" t="s">
        <v>279</v>
      </c>
      <c r="C94" s="6" t="s">
        <v>280</v>
      </c>
      <c r="D94" s="6" t="s">
        <v>281</v>
      </c>
      <c r="E94" s="6" t="n">
        <v>19.46</v>
      </c>
      <c r="F94" s="6" t="s">
        <v>282</v>
      </c>
      <c r="G94" s="6" t="n">
        <v>45</v>
      </c>
      <c r="H94" s="6" t="n">
        <v>91.6</v>
      </c>
      <c r="I94" s="6" t="str">
        <f aca="false">IF(E94&gt;=G94,"ALERT","normal")</f>
        <v>normal</v>
      </c>
    </row>
    <row r="95" customFormat="false" ht="15" hidden="false" customHeight="false" outlineLevel="0" collapsed="false">
      <c r="A95" s="6" t="s">
        <v>276</v>
      </c>
      <c r="B95" s="6" t="s">
        <v>279</v>
      </c>
      <c r="C95" s="6" t="s">
        <v>280</v>
      </c>
      <c r="D95" s="6" t="s">
        <v>281</v>
      </c>
      <c r="E95" s="6" t="n">
        <v>23.62</v>
      </c>
      <c r="F95" s="6" t="s">
        <v>282</v>
      </c>
      <c r="G95" s="6" t="n">
        <v>45</v>
      </c>
      <c r="H95" s="6" t="n">
        <v>91.7</v>
      </c>
      <c r="I95" s="6" t="str">
        <f aca="false">IF(E95&gt;=G95,"ALERT","normal")</f>
        <v>normal</v>
      </c>
    </row>
    <row r="96" customFormat="false" ht="15" hidden="false" customHeight="false" outlineLevel="0" collapsed="false">
      <c r="A96" s="6" t="s">
        <v>277</v>
      </c>
      <c r="B96" s="6" t="s">
        <v>279</v>
      </c>
      <c r="C96" s="6" t="s">
        <v>280</v>
      </c>
      <c r="D96" s="6" t="s">
        <v>281</v>
      </c>
      <c r="E96" s="6" t="n">
        <v>27.54</v>
      </c>
      <c r="F96" s="6" t="s">
        <v>282</v>
      </c>
      <c r="G96" s="6" t="n">
        <v>45</v>
      </c>
      <c r="H96" s="6" t="n">
        <v>90.9</v>
      </c>
      <c r="I96" s="6" t="str">
        <f aca="false">IF(E96&gt;=G96,"ALERT","normal")</f>
        <v>normal</v>
      </c>
    </row>
    <row r="97" customFormat="false" ht="15" hidden="false" customHeight="false" outlineLevel="0" collapsed="false">
      <c r="A97" s="6" t="s">
        <v>278</v>
      </c>
      <c r="B97" s="6" t="s">
        <v>279</v>
      </c>
      <c r="C97" s="6" t="s">
        <v>280</v>
      </c>
      <c r="D97" s="6" t="s">
        <v>281</v>
      </c>
      <c r="E97" s="6" t="n">
        <v>16.83</v>
      </c>
      <c r="F97" s="6" t="s">
        <v>282</v>
      </c>
      <c r="G97" s="6" t="n">
        <v>45</v>
      </c>
      <c r="H97" s="6" t="n">
        <v>91.3</v>
      </c>
      <c r="I97" s="6" t="str">
        <f aca="false">IF(E97&gt;=G97,"ALERT","normal")</f>
        <v>normal</v>
      </c>
    </row>
    <row r="98" customFormat="false" ht="15" hidden="false" customHeight="false" outlineLevel="0" collapsed="false">
      <c r="A98" s="6" t="s">
        <v>227</v>
      </c>
      <c r="B98" s="6" t="s">
        <v>283</v>
      </c>
      <c r="C98" s="6" t="s">
        <v>284</v>
      </c>
      <c r="D98" s="6" t="s">
        <v>285</v>
      </c>
      <c r="E98" s="6" t="n">
        <v>0.91</v>
      </c>
      <c r="F98" s="6" t="s">
        <v>286</v>
      </c>
      <c r="G98" s="6" t="n">
        <v>5</v>
      </c>
      <c r="H98" s="6" t="n">
        <v>95.3</v>
      </c>
      <c r="I98" s="6" t="str">
        <f aca="false">IF(E98&gt;=G98,"ALERT","normal")</f>
        <v>normal</v>
      </c>
    </row>
    <row r="99" customFormat="false" ht="15" hidden="false" customHeight="false" outlineLevel="0" collapsed="false">
      <c r="A99" s="6" t="s">
        <v>232</v>
      </c>
      <c r="B99" s="6" t="s">
        <v>283</v>
      </c>
      <c r="C99" s="6" t="s">
        <v>284</v>
      </c>
      <c r="D99" s="6" t="s">
        <v>285</v>
      </c>
      <c r="E99" s="6" t="n">
        <v>1.2</v>
      </c>
      <c r="F99" s="6" t="s">
        <v>286</v>
      </c>
      <c r="G99" s="6" t="n">
        <v>5</v>
      </c>
      <c r="H99" s="6" t="n">
        <v>94.9</v>
      </c>
      <c r="I99" s="6" t="str">
        <f aca="false">IF(E99&gt;=G99,"ALERT","normal")</f>
        <v>normal</v>
      </c>
    </row>
    <row r="100" customFormat="false" ht="15" hidden="false" customHeight="false" outlineLevel="0" collapsed="false">
      <c r="A100" s="6" t="s">
        <v>233</v>
      </c>
      <c r="B100" s="6" t="s">
        <v>283</v>
      </c>
      <c r="C100" s="6" t="s">
        <v>284</v>
      </c>
      <c r="D100" s="6" t="s">
        <v>285</v>
      </c>
      <c r="E100" s="6" t="n">
        <v>0.7</v>
      </c>
      <c r="F100" s="6" t="s">
        <v>286</v>
      </c>
      <c r="G100" s="6" t="n">
        <v>5</v>
      </c>
      <c r="H100" s="6" t="n">
        <v>94.7</v>
      </c>
      <c r="I100" s="6" t="str">
        <f aca="false">IF(E100&gt;=G100,"ALERT","normal")</f>
        <v>normal</v>
      </c>
    </row>
    <row r="101" customFormat="false" ht="15" hidden="false" customHeight="false" outlineLevel="0" collapsed="false">
      <c r="A101" s="6" t="s">
        <v>234</v>
      </c>
      <c r="B101" s="6" t="s">
        <v>283</v>
      </c>
      <c r="C101" s="6" t="s">
        <v>284</v>
      </c>
      <c r="D101" s="6" t="s">
        <v>285</v>
      </c>
      <c r="E101" s="6" t="n">
        <v>1.77</v>
      </c>
      <c r="F101" s="6" t="s">
        <v>286</v>
      </c>
      <c r="G101" s="6" t="n">
        <v>5</v>
      </c>
      <c r="H101" s="6" t="n">
        <v>95.3</v>
      </c>
      <c r="I101" s="6" t="str">
        <f aca="false">IF(E101&gt;=G101,"ALERT","normal")</f>
        <v>normal</v>
      </c>
    </row>
    <row r="102" customFormat="false" ht="15" hidden="false" customHeight="false" outlineLevel="0" collapsed="false">
      <c r="A102" s="6" t="s">
        <v>235</v>
      </c>
      <c r="B102" s="6" t="s">
        <v>283</v>
      </c>
      <c r="C102" s="6" t="s">
        <v>284</v>
      </c>
      <c r="D102" s="6" t="s">
        <v>285</v>
      </c>
      <c r="E102" s="6" t="n">
        <v>0.44</v>
      </c>
      <c r="F102" s="6" t="s">
        <v>286</v>
      </c>
      <c r="G102" s="6" t="n">
        <v>5</v>
      </c>
      <c r="H102" s="6" t="n">
        <v>94.4</v>
      </c>
      <c r="I102" s="6" t="str">
        <f aca="false">IF(E102&gt;=G102,"ALERT","normal")</f>
        <v>normal</v>
      </c>
    </row>
    <row r="103" customFormat="false" ht="15" hidden="false" customHeight="false" outlineLevel="0" collapsed="false">
      <c r="A103" s="6" t="s">
        <v>236</v>
      </c>
      <c r="B103" s="6" t="s">
        <v>283</v>
      </c>
      <c r="C103" s="6" t="s">
        <v>284</v>
      </c>
      <c r="D103" s="6" t="s">
        <v>285</v>
      </c>
      <c r="E103" s="6" t="n">
        <v>1.01</v>
      </c>
      <c r="F103" s="6" t="s">
        <v>286</v>
      </c>
      <c r="G103" s="6" t="n">
        <v>5</v>
      </c>
      <c r="H103" s="6" t="n">
        <v>95.2</v>
      </c>
      <c r="I103" s="6" t="str">
        <f aca="false">IF(E103&gt;=G103,"ALERT","normal")</f>
        <v>normal</v>
      </c>
    </row>
    <row r="104" customFormat="false" ht="15" hidden="false" customHeight="false" outlineLevel="0" collapsed="false">
      <c r="A104" s="6" t="s">
        <v>237</v>
      </c>
      <c r="B104" s="6" t="s">
        <v>283</v>
      </c>
      <c r="C104" s="6" t="s">
        <v>284</v>
      </c>
      <c r="D104" s="6" t="s">
        <v>285</v>
      </c>
      <c r="E104" s="6" t="n">
        <v>0.91</v>
      </c>
      <c r="F104" s="6" t="s">
        <v>286</v>
      </c>
      <c r="G104" s="6" t="n">
        <v>5</v>
      </c>
      <c r="H104" s="6" t="n">
        <v>94.8</v>
      </c>
      <c r="I104" s="6" t="str">
        <f aca="false">IF(E104&gt;=G104,"ALERT","normal")</f>
        <v>normal</v>
      </c>
    </row>
    <row r="105" customFormat="false" ht="15" hidden="false" customHeight="false" outlineLevel="0" collapsed="false">
      <c r="A105" s="6" t="s">
        <v>238</v>
      </c>
      <c r="B105" s="6" t="s">
        <v>283</v>
      </c>
      <c r="C105" s="6" t="s">
        <v>284</v>
      </c>
      <c r="D105" s="6" t="s">
        <v>285</v>
      </c>
      <c r="E105" s="6" t="n">
        <v>0.9</v>
      </c>
      <c r="F105" s="6" t="s">
        <v>286</v>
      </c>
      <c r="G105" s="6" t="n">
        <v>5</v>
      </c>
      <c r="H105" s="6" t="n">
        <v>94.6</v>
      </c>
      <c r="I105" s="6" t="str">
        <f aca="false">IF(E105&gt;=G105,"ALERT","normal")</f>
        <v>normal</v>
      </c>
    </row>
    <row r="106" customFormat="false" ht="15" hidden="false" customHeight="false" outlineLevel="0" collapsed="false">
      <c r="A106" s="6" t="s">
        <v>239</v>
      </c>
      <c r="B106" s="6" t="s">
        <v>283</v>
      </c>
      <c r="C106" s="6" t="s">
        <v>284</v>
      </c>
      <c r="D106" s="6" t="s">
        <v>285</v>
      </c>
      <c r="E106" s="6" t="n">
        <v>0.91</v>
      </c>
      <c r="F106" s="6" t="s">
        <v>286</v>
      </c>
      <c r="G106" s="6" t="n">
        <v>5</v>
      </c>
      <c r="H106" s="6" t="n">
        <v>94.4</v>
      </c>
      <c r="I106" s="6" t="str">
        <f aca="false">IF(E106&gt;=G106,"ALERT","normal")</f>
        <v>normal</v>
      </c>
    </row>
    <row r="107" customFormat="false" ht="15" hidden="false" customHeight="false" outlineLevel="0" collapsed="false">
      <c r="A107" s="6" t="s">
        <v>240</v>
      </c>
      <c r="B107" s="6" t="s">
        <v>283</v>
      </c>
      <c r="C107" s="6" t="s">
        <v>284</v>
      </c>
      <c r="D107" s="6" t="s">
        <v>285</v>
      </c>
      <c r="E107" s="6" t="n">
        <v>1.04</v>
      </c>
      <c r="F107" s="6" t="s">
        <v>286</v>
      </c>
      <c r="G107" s="6" t="n">
        <v>5</v>
      </c>
      <c r="H107" s="6" t="n">
        <v>94.2</v>
      </c>
      <c r="I107" s="6" t="str">
        <f aca="false">IF(E107&gt;=G107,"ALERT","normal")</f>
        <v>normal</v>
      </c>
    </row>
    <row r="108" customFormat="false" ht="15" hidden="false" customHeight="false" outlineLevel="0" collapsed="false">
      <c r="A108" s="6" t="s">
        <v>241</v>
      </c>
      <c r="B108" s="6" t="s">
        <v>283</v>
      </c>
      <c r="C108" s="6" t="s">
        <v>284</v>
      </c>
      <c r="D108" s="6" t="s">
        <v>285</v>
      </c>
      <c r="E108" s="6" t="n">
        <v>1.43</v>
      </c>
      <c r="F108" s="6" t="s">
        <v>286</v>
      </c>
      <c r="G108" s="6" t="n">
        <v>5</v>
      </c>
      <c r="H108" s="6" t="n">
        <v>94.7</v>
      </c>
      <c r="I108" s="6" t="str">
        <f aca="false">IF(E108&gt;=G108,"ALERT","normal")</f>
        <v>normal</v>
      </c>
    </row>
    <row r="109" customFormat="false" ht="15" hidden="false" customHeight="false" outlineLevel="0" collapsed="false">
      <c r="A109" s="6" t="s">
        <v>242</v>
      </c>
      <c r="B109" s="6" t="s">
        <v>283</v>
      </c>
      <c r="C109" s="6" t="s">
        <v>284</v>
      </c>
      <c r="D109" s="6" t="s">
        <v>285</v>
      </c>
      <c r="E109" s="6" t="n">
        <v>1.72</v>
      </c>
      <c r="F109" s="6" t="s">
        <v>286</v>
      </c>
      <c r="G109" s="6" t="n">
        <v>5</v>
      </c>
      <c r="H109" s="6" t="n">
        <v>93.7</v>
      </c>
      <c r="I109" s="6" t="str">
        <f aca="false">IF(E109&gt;=G109,"ALERT","normal")</f>
        <v>normal</v>
      </c>
    </row>
    <row r="110" customFormat="false" ht="15" hidden="false" customHeight="false" outlineLevel="0" collapsed="false">
      <c r="A110" s="6" t="s">
        <v>243</v>
      </c>
      <c r="B110" s="6" t="s">
        <v>283</v>
      </c>
      <c r="C110" s="6" t="s">
        <v>284</v>
      </c>
      <c r="D110" s="6" t="s">
        <v>285</v>
      </c>
      <c r="E110" s="6" t="n">
        <v>1.05</v>
      </c>
      <c r="F110" s="6" t="s">
        <v>286</v>
      </c>
      <c r="G110" s="6" t="n">
        <v>5</v>
      </c>
      <c r="H110" s="6" t="n">
        <v>93.2</v>
      </c>
      <c r="I110" s="6" t="str">
        <f aca="false">IF(E110&gt;=G110,"ALERT","normal")</f>
        <v>normal</v>
      </c>
    </row>
    <row r="111" customFormat="false" ht="15" hidden="false" customHeight="false" outlineLevel="0" collapsed="false">
      <c r="A111" s="6" t="s">
        <v>244</v>
      </c>
      <c r="B111" s="6" t="s">
        <v>283</v>
      </c>
      <c r="C111" s="6" t="s">
        <v>284</v>
      </c>
      <c r="D111" s="6" t="s">
        <v>285</v>
      </c>
      <c r="E111" s="6" t="n">
        <v>1.48</v>
      </c>
      <c r="F111" s="6" t="s">
        <v>286</v>
      </c>
      <c r="G111" s="6" t="n">
        <v>5</v>
      </c>
      <c r="H111" s="6" t="n">
        <v>94.3</v>
      </c>
      <c r="I111" s="6" t="str">
        <f aca="false">IF(E111&gt;=G111,"ALERT","normal")</f>
        <v>normal</v>
      </c>
    </row>
    <row r="112" customFormat="false" ht="15" hidden="false" customHeight="false" outlineLevel="0" collapsed="false">
      <c r="A112" s="6" t="s">
        <v>245</v>
      </c>
      <c r="B112" s="6" t="s">
        <v>283</v>
      </c>
      <c r="C112" s="6" t="s">
        <v>284</v>
      </c>
      <c r="D112" s="6" t="s">
        <v>285</v>
      </c>
      <c r="E112" s="6" t="n">
        <v>0.74</v>
      </c>
      <c r="F112" s="6" t="s">
        <v>286</v>
      </c>
      <c r="G112" s="6" t="n">
        <v>5</v>
      </c>
      <c r="H112" s="6" t="n">
        <v>94.2</v>
      </c>
      <c r="I112" s="6" t="str">
        <f aca="false">IF(E112&gt;=G112,"ALERT","normal")</f>
        <v>normal</v>
      </c>
    </row>
    <row r="113" customFormat="false" ht="15" hidden="false" customHeight="false" outlineLevel="0" collapsed="false">
      <c r="A113" s="6" t="s">
        <v>246</v>
      </c>
      <c r="B113" s="6" t="s">
        <v>283</v>
      </c>
      <c r="C113" s="6" t="s">
        <v>284</v>
      </c>
      <c r="D113" s="6" t="s">
        <v>285</v>
      </c>
      <c r="E113" s="6" t="n">
        <v>1.5</v>
      </c>
      <c r="F113" s="6" t="s">
        <v>286</v>
      </c>
      <c r="G113" s="6" t="n">
        <v>5</v>
      </c>
      <c r="H113" s="6" t="n">
        <v>94</v>
      </c>
      <c r="I113" s="6" t="str">
        <f aca="false">IF(E113&gt;=G113,"ALERT","normal")</f>
        <v>normal</v>
      </c>
    </row>
    <row r="114" customFormat="false" ht="15" hidden="false" customHeight="false" outlineLevel="0" collapsed="false">
      <c r="A114" s="6" t="s">
        <v>247</v>
      </c>
      <c r="B114" s="6" t="s">
        <v>283</v>
      </c>
      <c r="C114" s="6" t="s">
        <v>284</v>
      </c>
      <c r="D114" s="6" t="s">
        <v>285</v>
      </c>
      <c r="E114" s="6" t="n">
        <v>0.75</v>
      </c>
      <c r="F114" s="6" t="s">
        <v>286</v>
      </c>
      <c r="G114" s="6" t="n">
        <v>5</v>
      </c>
      <c r="H114" s="6" t="n">
        <v>93.9</v>
      </c>
      <c r="I114" s="6" t="str">
        <f aca="false">IF(E114&gt;=G114,"ALERT","normal")</f>
        <v>normal</v>
      </c>
    </row>
    <row r="115" customFormat="false" ht="15" hidden="false" customHeight="false" outlineLevel="0" collapsed="false">
      <c r="A115" s="6" t="s">
        <v>248</v>
      </c>
      <c r="B115" s="6" t="s">
        <v>283</v>
      </c>
      <c r="C115" s="6" t="s">
        <v>284</v>
      </c>
      <c r="D115" s="6" t="s">
        <v>285</v>
      </c>
      <c r="E115" s="6" t="n">
        <v>1.7</v>
      </c>
      <c r="F115" s="6" t="s">
        <v>286</v>
      </c>
      <c r="G115" s="6" t="n">
        <v>5</v>
      </c>
      <c r="H115" s="6" t="n">
        <v>93.5</v>
      </c>
      <c r="I115" s="6" t="str">
        <f aca="false">IF(E115&gt;=G115,"ALERT","normal")</f>
        <v>normal</v>
      </c>
    </row>
    <row r="116" customFormat="false" ht="15" hidden="false" customHeight="false" outlineLevel="0" collapsed="false">
      <c r="A116" s="6" t="s">
        <v>249</v>
      </c>
      <c r="B116" s="6" t="s">
        <v>283</v>
      </c>
      <c r="C116" s="6" t="s">
        <v>284</v>
      </c>
      <c r="D116" s="6" t="s">
        <v>285</v>
      </c>
      <c r="E116" s="6" t="n">
        <v>2.28</v>
      </c>
      <c r="F116" s="6" t="s">
        <v>286</v>
      </c>
      <c r="G116" s="6" t="n">
        <v>5</v>
      </c>
      <c r="H116" s="6" t="n">
        <v>94</v>
      </c>
      <c r="I116" s="6" t="str">
        <f aca="false">IF(E116&gt;=G116,"ALERT","normal")</f>
        <v>normal</v>
      </c>
    </row>
    <row r="117" customFormat="false" ht="15" hidden="false" customHeight="false" outlineLevel="0" collapsed="false">
      <c r="A117" s="6" t="s">
        <v>250</v>
      </c>
      <c r="B117" s="6" t="s">
        <v>283</v>
      </c>
      <c r="C117" s="6" t="s">
        <v>284</v>
      </c>
      <c r="D117" s="6" t="s">
        <v>285</v>
      </c>
      <c r="E117" s="6" t="n">
        <v>1.14</v>
      </c>
      <c r="F117" s="6" t="s">
        <v>286</v>
      </c>
      <c r="G117" s="6" t="n">
        <v>5</v>
      </c>
      <c r="H117" s="6" t="n">
        <v>93.5</v>
      </c>
      <c r="I117" s="6" t="str">
        <f aca="false">IF(E117&gt;=G117,"ALERT","normal")</f>
        <v>normal</v>
      </c>
    </row>
    <row r="118" customFormat="false" ht="15" hidden="false" customHeight="false" outlineLevel="0" collapsed="false">
      <c r="A118" s="6" t="s">
        <v>251</v>
      </c>
      <c r="B118" s="6" t="s">
        <v>283</v>
      </c>
      <c r="C118" s="6" t="s">
        <v>284</v>
      </c>
      <c r="D118" s="6" t="s">
        <v>285</v>
      </c>
      <c r="E118" s="6" t="n">
        <v>0.12</v>
      </c>
      <c r="F118" s="6" t="s">
        <v>286</v>
      </c>
      <c r="G118" s="6" t="n">
        <v>5</v>
      </c>
      <c r="H118" s="6" t="n">
        <v>93.2</v>
      </c>
      <c r="I118" s="6" t="str">
        <f aca="false">IF(E118&gt;=G118,"ALERT","normal")</f>
        <v>normal</v>
      </c>
    </row>
    <row r="119" customFormat="false" ht="15" hidden="false" customHeight="false" outlineLevel="0" collapsed="false">
      <c r="A119" s="6" t="s">
        <v>252</v>
      </c>
      <c r="B119" s="6" t="s">
        <v>283</v>
      </c>
      <c r="C119" s="6" t="s">
        <v>284</v>
      </c>
      <c r="D119" s="6" t="s">
        <v>285</v>
      </c>
      <c r="E119" s="6" t="n">
        <v>0.96</v>
      </c>
      <c r="F119" s="6" t="s">
        <v>286</v>
      </c>
      <c r="G119" s="6" t="n">
        <v>5</v>
      </c>
      <c r="H119" s="6" t="n">
        <v>93.2</v>
      </c>
      <c r="I119" s="6" t="str">
        <f aca="false">IF(E119&gt;=G119,"ALERT","normal")</f>
        <v>normal</v>
      </c>
    </row>
    <row r="120" customFormat="false" ht="15" hidden="false" customHeight="false" outlineLevel="0" collapsed="false">
      <c r="A120" s="6" t="s">
        <v>253</v>
      </c>
      <c r="B120" s="6" t="s">
        <v>283</v>
      </c>
      <c r="C120" s="6" t="s">
        <v>284</v>
      </c>
      <c r="D120" s="6" t="s">
        <v>285</v>
      </c>
      <c r="E120" s="6" t="n">
        <v>1.88</v>
      </c>
      <c r="F120" s="6" t="s">
        <v>286</v>
      </c>
      <c r="G120" s="6" t="n">
        <v>5</v>
      </c>
      <c r="H120" s="6" t="n">
        <v>94.3</v>
      </c>
      <c r="I120" s="6" t="str">
        <f aca="false">IF(E120&gt;=G120,"ALERT","normal")</f>
        <v>normal</v>
      </c>
    </row>
    <row r="121" customFormat="false" ht="15" hidden="false" customHeight="false" outlineLevel="0" collapsed="false">
      <c r="A121" s="6" t="s">
        <v>254</v>
      </c>
      <c r="B121" s="6" t="s">
        <v>283</v>
      </c>
      <c r="C121" s="6" t="s">
        <v>284</v>
      </c>
      <c r="D121" s="6" t="s">
        <v>285</v>
      </c>
      <c r="E121" s="6" t="n">
        <v>1.56</v>
      </c>
      <c r="F121" s="6" t="s">
        <v>286</v>
      </c>
      <c r="G121" s="6" t="n">
        <v>5</v>
      </c>
      <c r="H121" s="6" t="n">
        <v>92.3</v>
      </c>
      <c r="I121" s="6" t="str">
        <f aca="false">IF(E121&gt;=G121,"ALERT","normal")</f>
        <v>normal</v>
      </c>
    </row>
    <row r="122" customFormat="false" ht="15" hidden="false" customHeight="false" outlineLevel="0" collapsed="false">
      <c r="A122" s="6" t="s">
        <v>255</v>
      </c>
      <c r="B122" s="6" t="s">
        <v>283</v>
      </c>
      <c r="C122" s="6" t="s">
        <v>284</v>
      </c>
      <c r="D122" s="6" t="s">
        <v>285</v>
      </c>
      <c r="E122" s="6" t="n">
        <v>1.43</v>
      </c>
      <c r="F122" s="6" t="s">
        <v>286</v>
      </c>
      <c r="G122" s="6" t="n">
        <v>5</v>
      </c>
      <c r="H122" s="6" t="n">
        <v>93.3</v>
      </c>
      <c r="I122" s="6" t="str">
        <f aca="false">IF(E122&gt;=G122,"ALERT","normal")</f>
        <v>normal</v>
      </c>
    </row>
    <row r="123" customFormat="false" ht="15" hidden="false" customHeight="false" outlineLevel="0" collapsed="false">
      <c r="A123" s="6" t="s">
        <v>256</v>
      </c>
      <c r="B123" s="6" t="s">
        <v>283</v>
      </c>
      <c r="C123" s="6" t="s">
        <v>284</v>
      </c>
      <c r="D123" s="6" t="s">
        <v>285</v>
      </c>
      <c r="E123" s="6" t="n">
        <v>1.83</v>
      </c>
      <c r="F123" s="6" t="s">
        <v>286</v>
      </c>
      <c r="G123" s="6" t="n">
        <v>5</v>
      </c>
      <c r="H123" s="6" t="n">
        <v>92.2</v>
      </c>
      <c r="I123" s="6" t="str">
        <f aca="false">IF(E123&gt;=G123,"ALERT","normal")</f>
        <v>normal</v>
      </c>
    </row>
    <row r="124" customFormat="false" ht="15" hidden="false" customHeight="false" outlineLevel="0" collapsed="false">
      <c r="A124" s="6" t="s">
        <v>257</v>
      </c>
      <c r="B124" s="6" t="s">
        <v>283</v>
      </c>
      <c r="C124" s="6" t="s">
        <v>284</v>
      </c>
      <c r="D124" s="6" t="s">
        <v>285</v>
      </c>
      <c r="E124" s="6" t="n">
        <v>1.59</v>
      </c>
      <c r="F124" s="6" t="s">
        <v>286</v>
      </c>
      <c r="G124" s="6" t="n">
        <v>5</v>
      </c>
      <c r="H124" s="6" t="n">
        <v>92.9</v>
      </c>
      <c r="I124" s="6" t="str">
        <f aca="false">IF(E124&gt;=G124,"ALERT","normal")</f>
        <v>normal</v>
      </c>
    </row>
    <row r="125" customFormat="false" ht="15" hidden="false" customHeight="false" outlineLevel="0" collapsed="false">
      <c r="A125" s="6" t="s">
        <v>258</v>
      </c>
      <c r="B125" s="6" t="s">
        <v>283</v>
      </c>
      <c r="C125" s="6" t="s">
        <v>284</v>
      </c>
      <c r="D125" s="6" t="s">
        <v>285</v>
      </c>
      <c r="E125" s="6" t="n">
        <v>1.97</v>
      </c>
      <c r="F125" s="6" t="s">
        <v>286</v>
      </c>
      <c r="G125" s="6" t="n">
        <v>5</v>
      </c>
      <c r="H125" s="6" t="n">
        <v>92.6</v>
      </c>
      <c r="I125" s="6" t="str">
        <f aca="false">IF(E125&gt;=G125,"ALERT","normal")</f>
        <v>normal</v>
      </c>
    </row>
    <row r="126" customFormat="false" ht="15" hidden="false" customHeight="false" outlineLevel="0" collapsed="false">
      <c r="A126" s="6" t="s">
        <v>259</v>
      </c>
      <c r="B126" s="6" t="s">
        <v>283</v>
      </c>
      <c r="C126" s="6" t="s">
        <v>284</v>
      </c>
      <c r="D126" s="6" t="s">
        <v>285</v>
      </c>
      <c r="E126" s="6" t="n">
        <v>1.84</v>
      </c>
      <c r="F126" s="6" t="s">
        <v>286</v>
      </c>
      <c r="G126" s="6" t="n">
        <v>5</v>
      </c>
      <c r="H126" s="6" t="n">
        <v>91.7</v>
      </c>
      <c r="I126" s="6" t="str">
        <f aca="false">IF(E126&gt;=G126,"ALERT","normal")</f>
        <v>normal</v>
      </c>
    </row>
    <row r="127" customFormat="false" ht="15" hidden="false" customHeight="false" outlineLevel="0" collapsed="false">
      <c r="A127" s="6" t="s">
        <v>260</v>
      </c>
      <c r="B127" s="6" t="s">
        <v>283</v>
      </c>
      <c r="C127" s="6" t="s">
        <v>284</v>
      </c>
      <c r="D127" s="6" t="s">
        <v>285</v>
      </c>
      <c r="E127" s="6" t="n">
        <v>2.17</v>
      </c>
      <c r="F127" s="6" t="s">
        <v>286</v>
      </c>
      <c r="G127" s="6" t="n">
        <v>5</v>
      </c>
      <c r="H127" s="6" t="n">
        <v>92.9</v>
      </c>
      <c r="I127" s="6" t="str">
        <f aca="false">IF(E127&gt;=G127,"ALERT","normal")</f>
        <v>normal</v>
      </c>
    </row>
    <row r="128" customFormat="false" ht="15" hidden="false" customHeight="false" outlineLevel="0" collapsed="false">
      <c r="A128" s="6" t="s">
        <v>261</v>
      </c>
      <c r="B128" s="6" t="s">
        <v>283</v>
      </c>
      <c r="C128" s="6" t="s">
        <v>284</v>
      </c>
      <c r="D128" s="6" t="s">
        <v>285</v>
      </c>
      <c r="E128" s="6" t="n">
        <v>1.61</v>
      </c>
      <c r="F128" s="6" t="s">
        <v>286</v>
      </c>
      <c r="G128" s="6" t="n">
        <v>5</v>
      </c>
      <c r="H128" s="6" t="n">
        <v>92.4</v>
      </c>
      <c r="I128" s="6" t="str">
        <f aca="false">IF(E128&gt;=G128,"ALERT","normal")</f>
        <v>normal</v>
      </c>
    </row>
    <row r="129" customFormat="false" ht="15" hidden="false" customHeight="false" outlineLevel="0" collapsed="false">
      <c r="A129" s="6" t="s">
        <v>262</v>
      </c>
      <c r="B129" s="6" t="s">
        <v>283</v>
      </c>
      <c r="C129" s="6" t="s">
        <v>284</v>
      </c>
      <c r="D129" s="6" t="s">
        <v>285</v>
      </c>
      <c r="E129" s="6" t="n">
        <v>1.9</v>
      </c>
      <c r="F129" s="6" t="s">
        <v>286</v>
      </c>
      <c r="G129" s="6" t="n">
        <v>5</v>
      </c>
      <c r="H129" s="6" t="n">
        <v>91.5</v>
      </c>
      <c r="I129" s="6" t="str">
        <f aca="false">IF(E129&gt;=G129,"ALERT","normal")</f>
        <v>normal</v>
      </c>
    </row>
    <row r="130" customFormat="false" ht="15" hidden="false" customHeight="false" outlineLevel="0" collapsed="false">
      <c r="A130" s="6" t="s">
        <v>263</v>
      </c>
      <c r="B130" s="6" t="s">
        <v>283</v>
      </c>
      <c r="C130" s="6" t="s">
        <v>284</v>
      </c>
      <c r="D130" s="6" t="s">
        <v>285</v>
      </c>
      <c r="E130" s="6" t="n">
        <v>1.32</v>
      </c>
      <c r="F130" s="6" t="s">
        <v>286</v>
      </c>
      <c r="G130" s="6" t="n">
        <v>5</v>
      </c>
      <c r="H130" s="6" t="n">
        <v>92.9</v>
      </c>
      <c r="I130" s="6" t="str">
        <f aca="false">IF(E130&gt;=G130,"ALERT","normal")</f>
        <v>normal</v>
      </c>
    </row>
    <row r="131" customFormat="false" ht="15" hidden="false" customHeight="false" outlineLevel="0" collapsed="false">
      <c r="A131" s="6" t="s">
        <v>264</v>
      </c>
      <c r="B131" s="6" t="s">
        <v>283</v>
      </c>
      <c r="C131" s="6" t="s">
        <v>284</v>
      </c>
      <c r="D131" s="6" t="s">
        <v>285</v>
      </c>
      <c r="E131" s="6" t="n">
        <v>1.19</v>
      </c>
      <c r="F131" s="6" t="s">
        <v>286</v>
      </c>
      <c r="G131" s="6" t="n">
        <v>5</v>
      </c>
      <c r="H131" s="6" t="n">
        <v>93.1</v>
      </c>
      <c r="I131" s="6" t="str">
        <f aca="false">IF(E131&gt;=G131,"ALERT","normal")</f>
        <v>normal</v>
      </c>
    </row>
    <row r="132" customFormat="false" ht="15" hidden="false" customHeight="false" outlineLevel="0" collapsed="false">
      <c r="A132" s="6" t="s">
        <v>265</v>
      </c>
      <c r="B132" s="6" t="s">
        <v>283</v>
      </c>
      <c r="C132" s="6" t="s">
        <v>284</v>
      </c>
      <c r="D132" s="6" t="s">
        <v>285</v>
      </c>
      <c r="E132" s="6" t="n">
        <v>2.36</v>
      </c>
      <c r="F132" s="6" t="s">
        <v>286</v>
      </c>
      <c r="G132" s="6" t="n">
        <v>5</v>
      </c>
      <c r="H132" s="6" t="n">
        <v>93</v>
      </c>
      <c r="I132" s="6" t="str">
        <f aca="false">IF(E132&gt;=G132,"ALERT","normal")</f>
        <v>normal</v>
      </c>
    </row>
    <row r="133" customFormat="false" ht="15" hidden="false" customHeight="false" outlineLevel="0" collapsed="false">
      <c r="A133" s="6" t="s">
        <v>266</v>
      </c>
      <c r="B133" s="6" t="s">
        <v>283</v>
      </c>
      <c r="C133" s="6" t="s">
        <v>284</v>
      </c>
      <c r="D133" s="6" t="s">
        <v>285</v>
      </c>
      <c r="E133" s="6" t="n">
        <v>1.64</v>
      </c>
      <c r="F133" s="6" t="s">
        <v>286</v>
      </c>
      <c r="G133" s="6" t="n">
        <v>5</v>
      </c>
      <c r="H133" s="6" t="n">
        <v>92.4</v>
      </c>
      <c r="I133" s="6" t="str">
        <f aca="false">IF(E133&gt;=G133,"ALERT","normal")</f>
        <v>normal</v>
      </c>
    </row>
    <row r="134" customFormat="false" ht="15" hidden="false" customHeight="false" outlineLevel="0" collapsed="false">
      <c r="A134" s="6" t="s">
        <v>267</v>
      </c>
      <c r="B134" s="6" t="s">
        <v>283</v>
      </c>
      <c r="C134" s="6" t="s">
        <v>284</v>
      </c>
      <c r="D134" s="6" t="s">
        <v>285</v>
      </c>
      <c r="E134" s="6" t="n">
        <v>1.95</v>
      </c>
      <c r="F134" s="6" t="s">
        <v>286</v>
      </c>
      <c r="G134" s="6" t="n">
        <v>5</v>
      </c>
      <c r="H134" s="6" t="n">
        <v>92.1</v>
      </c>
      <c r="I134" s="6" t="str">
        <f aca="false">IF(E134&gt;=G134,"ALERT","normal")</f>
        <v>normal</v>
      </c>
    </row>
    <row r="135" customFormat="false" ht="15" hidden="false" customHeight="false" outlineLevel="0" collapsed="false">
      <c r="A135" s="6" t="s">
        <v>268</v>
      </c>
      <c r="B135" s="6" t="s">
        <v>283</v>
      </c>
      <c r="C135" s="6" t="s">
        <v>284</v>
      </c>
      <c r="D135" s="6" t="s">
        <v>285</v>
      </c>
      <c r="E135" s="6" t="n">
        <v>1.64</v>
      </c>
      <c r="F135" s="6" t="s">
        <v>286</v>
      </c>
      <c r="G135" s="6" t="n">
        <v>5</v>
      </c>
      <c r="H135" s="6" t="n">
        <v>92.7</v>
      </c>
      <c r="I135" s="6" t="str">
        <f aca="false">IF(E135&gt;=G135,"ALERT","normal")</f>
        <v>normal</v>
      </c>
    </row>
    <row r="136" customFormat="false" ht="15" hidden="false" customHeight="false" outlineLevel="0" collapsed="false">
      <c r="A136" s="6" t="s">
        <v>269</v>
      </c>
      <c r="B136" s="6" t="s">
        <v>283</v>
      </c>
      <c r="C136" s="6" t="s">
        <v>284</v>
      </c>
      <c r="D136" s="6" t="s">
        <v>285</v>
      </c>
      <c r="E136" s="6" t="n">
        <v>1.3</v>
      </c>
      <c r="F136" s="6" t="s">
        <v>286</v>
      </c>
      <c r="G136" s="6" t="n">
        <v>5</v>
      </c>
      <c r="H136" s="6" t="n">
        <v>92.8</v>
      </c>
      <c r="I136" s="6" t="str">
        <f aca="false">IF(E136&gt;=G136,"ALERT","normal")</f>
        <v>normal</v>
      </c>
    </row>
    <row r="137" customFormat="false" ht="15" hidden="false" customHeight="false" outlineLevel="0" collapsed="false">
      <c r="A137" s="6" t="s">
        <v>270</v>
      </c>
      <c r="B137" s="6" t="s">
        <v>283</v>
      </c>
      <c r="C137" s="6" t="s">
        <v>284</v>
      </c>
      <c r="D137" s="6" t="s">
        <v>285</v>
      </c>
      <c r="E137" s="6" t="n">
        <v>1.62</v>
      </c>
      <c r="F137" s="6" t="s">
        <v>286</v>
      </c>
      <c r="G137" s="6" t="n">
        <v>5</v>
      </c>
      <c r="H137" s="6" t="n">
        <v>92.4</v>
      </c>
      <c r="I137" s="6" t="str">
        <f aca="false">IF(E137&gt;=G137,"ALERT","normal")</f>
        <v>normal</v>
      </c>
    </row>
    <row r="138" customFormat="false" ht="15" hidden="false" customHeight="false" outlineLevel="0" collapsed="false">
      <c r="A138" s="6" t="s">
        <v>271</v>
      </c>
      <c r="B138" s="6" t="s">
        <v>283</v>
      </c>
      <c r="C138" s="6" t="s">
        <v>284</v>
      </c>
      <c r="D138" s="6" t="s">
        <v>285</v>
      </c>
      <c r="E138" s="6" t="n">
        <v>2.35</v>
      </c>
      <c r="F138" s="6" t="s">
        <v>286</v>
      </c>
      <c r="G138" s="6" t="n">
        <v>5</v>
      </c>
      <c r="H138" s="6" t="n">
        <v>91.3</v>
      </c>
      <c r="I138" s="6" t="str">
        <f aca="false">IF(E138&gt;=G138,"ALERT","normal")</f>
        <v>normal</v>
      </c>
    </row>
    <row r="139" customFormat="false" ht="15" hidden="false" customHeight="false" outlineLevel="0" collapsed="false">
      <c r="A139" s="6" t="s">
        <v>272</v>
      </c>
      <c r="B139" s="6" t="s">
        <v>283</v>
      </c>
      <c r="C139" s="6" t="s">
        <v>284</v>
      </c>
      <c r="D139" s="6" t="s">
        <v>285</v>
      </c>
      <c r="E139" s="6" t="n">
        <v>1.93</v>
      </c>
      <c r="F139" s="6" t="s">
        <v>286</v>
      </c>
      <c r="G139" s="6" t="n">
        <v>5</v>
      </c>
      <c r="H139" s="6" t="n">
        <v>91.8</v>
      </c>
      <c r="I139" s="6" t="str">
        <f aca="false">IF(E139&gt;=G139,"ALERT","normal")</f>
        <v>normal</v>
      </c>
    </row>
    <row r="140" customFormat="false" ht="15" hidden="false" customHeight="false" outlineLevel="0" collapsed="false">
      <c r="A140" s="6" t="s">
        <v>273</v>
      </c>
      <c r="B140" s="6" t="s">
        <v>283</v>
      </c>
      <c r="C140" s="6" t="s">
        <v>284</v>
      </c>
      <c r="D140" s="6" t="s">
        <v>285</v>
      </c>
      <c r="E140" s="6" t="n">
        <v>0.82</v>
      </c>
      <c r="F140" s="6" t="s">
        <v>286</v>
      </c>
      <c r="G140" s="6" t="n">
        <v>5</v>
      </c>
      <c r="H140" s="6" t="n">
        <v>91.9</v>
      </c>
      <c r="I140" s="6" t="str">
        <f aca="false">IF(E140&gt;=G140,"ALERT","normal")</f>
        <v>normal</v>
      </c>
    </row>
    <row r="141" customFormat="false" ht="15" hidden="false" customHeight="false" outlineLevel="0" collapsed="false">
      <c r="A141" s="6" t="s">
        <v>274</v>
      </c>
      <c r="B141" s="6" t="s">
        <v>283</v>
      </c>
      <c r="C141" s="6" t="s">
        <v>284</v>
      </c>
      <c r="D141" s="6" t="s">
        <v>285</v>
      </c>
      <c r="E141" s="6" t="n">
        <v>1.59</v>
      </c>
      <c r="F141" s="6" t="s">
        <v>286</v>
      </c>
      <c r="G141" s="6" t="n">
        <v>5</v>
      </c>
      <c r="H141" s="6" t="n">
        <v>90.7</v>
      </c>
      <c r="I141" s="6" t="str">
        <f aca="false">IF(E141&gt;=G141,"ALERT","normal")</f>
        <v>normal</v>
      </c>
    </row>
    <row r="142" customFormat="false" ht="15" hidden="false" customHeight="false" outlineLevel="0" collapsed="false">
      <c r="A142" s="6" t="s">
        <v>275</v>
      </c>
      <c r="B142" s="6" t="s">
        <v>283</v>
      </c>
      <c r="C142" s="6" t="s">
        <v>284</v>
      </c>
      <c r="D142" s="6" t="s">
        <v>285</v>
      </c>
      <c r="E142" s="6" t="n">
        <v>2.61</v>
      </c>
      <c r="F142" s="6" t="s">
        <v>286</v>
      </c>
      <c r="G142" s="6" t="n">
        <v>5</v>
      </c>
      <c r="H142" s="6" t="n">
        <v>91.7</v>
      </c>
      <c r="I142" s="6" t="str">
        <f aca="false">IF(E142&gt;=G142,"ALERT","normal")</f>
        <v>normal</v>
      </c>
    </row>
    <row r="143" customFormat="false" ht="15" hidden="false" customHeight="false" outlineLevel="0" collapsed="false">
      <c r="A143" s="6" t="s">
        <v>276</v>
      </c>
      <c r="B143" s="6" t="s">
        <v>283</v>
      </c>
      <c r="C143" s="6" t="s">
        <v>284</v>
      </c>
      <c r="D143" s="6" t="s">
        <v>285</v>
      </c>
      <c r="E143" s="6" t="n">
        <v>1.63</v>
      </c>
      <c r="F143" s="6" t="s">
        <v>286</v>
      </c>
      <c r="G143" s="6" t="n">
        <v>5</v>
      </c>
      <c r="H143" s="6" t="n">
        <v>92.5</v>
      </c>
      <c r="I143" s="6" t="str">
        <f aca="false">IF(E143&gt;=G143,"ALERT","normal")</f>
        <v>normal</v>
      </c>
    </row>
    <row r="144" customFormat="false" ht="15" hidden="false" customHeight="false" outlineLevel="0" collapsed="false">
      <c r="A144" s="6" t="s">
        <v>277</v>
      </c>
      <c r="B144" s="6" t="s">
        <v>283</v>
      </c>
      <c r="C144" s="6" t="s">
        <v>284</v>
      </c>
      <c r="D144" s="6" t="s">
        <v>285</v>
      </c>
      <c r="E144" s="6" t="n">
        <v>0.86</v>
      </c>
      <c r="F144" s="6" t="s">
        <v>286</v>
      </c>
      <c r="G144" s="6" t="n">
        <v>5</v>
      </c>
      <c r="H144" s="6" t="n">
        <v>91.6</v>
      </c>
      <c r="I144" s="6" t="str">
        <f aca="false">IF(E144&gt;=G144,"ALERT","normal")</f>
        <v>normal</v>
      </c>
    </row>
    <row r="145" customFormat="false" ht="15" hidden="false" customHeight="false" outlineLevel="0" collapsed="false">
      <c r="A145" s="6" t="s">
        <v>278</v>
      </c>
      <c r="B145" s="6" t="s">
        <v>283</v>
      </c>
      <c r="C145" s="6" t="s">
        <v>284</v>
      </c>
      <c r="D145" s="6" t="s">
        <v>285</v>
      </c>
      <c r="E145" s="6" t="n">
        <v>2.73</v>
      </c>
      <c r="F145" s="6" t="s">
        <v>286</v>
      </c>
      <c r="G145" s="6" t="n">
        <v>5</v>
      </c>
      <c r="H145" s="6" t="n">
        <v>92</v>
      </c>
      <c r="I145" s="6" t="str">
        <f aca="false">IF(E145&gt;=G145,"ALERT","normal")</f>
        <v>normal</v>
      </c>
    </row>
    <row r="146" customFormat="false" ht="15" hidden="false" customHeight="false" outlineLevel="0" collapsed="false">
      <c r="A146" s="6" t="s">
        <v>227</v>
      </c>
      <c r="B146" s="6" t="s">
        <v>287</v>
      </c>
      <c r="C146" s="6" t="s">
        <v>288</v>
      </c>
      <c r="D146" s="6" t="s">
        <v>281</v>
      </c>
      <c r="E146" s="6" t="n">
        <v>2.71</v>
      </c>
      <c r="F146" s="6" t="s">
        <v>289</v>
      </c>
      <c r="G146" s="6" t="n">
        <v>30</v>
      </c>
      <c r="H146" s="6" t="n">
        <v>95.8</v>
      </c>
      <c r="I146" s="6" t="str">
        <f aca="false">IF(E146&gt;=G146,"ALERT","normal")</f>
        <v>normal</v>
      </c>
    </row>
    <row r="147" customFormat="false" ht="15" hidden="false" customHeight="false" outlineLevel="0" collapsed="false">
      <c r="A147" s="6" t="s">
        <v>232</v>
      </c>
      <c r="B147" s="6" t="s">
        <v>287</v>
      </c>
      <c r="C147" s="6" t="s">
        <v>288</v>
      </c>
      <c r="D147" s="6" t="s">
        <v>281</v>
      </c>
      <c r="E147" s="6" t="n">
        <v>4.55</v>
      </c>
      <c r="F147" s="6" t="s">
        <v>289</v>
      </c>
      <c r="G147" s="6" t="n">
        <v>30</v>
      </c>
      <c r="H147" s="6" t="n">
        <v>95</v>
      </c>
      <c r="I147" s="6" t="str">
        <f aca="false">IF(E147&gt;=G147,"ALERT","normal")</f>
        <v>normal</v>
      </c>
    </row>
    <row r="148" customFormat="false" ht="15" hidden="false" customHeight="false" outlineLevel="0" collapsed="false">
      <c r="A148" s="6" t="s">
        <v>233</v>
      </c>
      <c r="B148" s="6" t="s">
        <v>287</v>
      </c>
      <c r="C148" s="6" t="s">
        <v>288</v>
      </c>
      <c r="D148" s="6" t="s">
        <v>281</v>
      </c>
      <c r="E148" s="6" t="n">
        <v>0</v>
      </c>
      <c r="F148" s="6" t="s">
        <v>289</v>
      </c>
      <c r="G148" s="6" t="n">
        <v>30</v>
      </c>
      <c r="H148" s="6" t="n">
        <v>94.6</v>
      </c>
      <c r="I148" s="6" t="str">
        <f aca="false">IF(E148&gt;=G148,"ALERT","normal")</f>
        <v>normal</v>
      </c>
    </row>
    <row r="149" customFormat="false" ht="15" hidden="false" customHeight="false" outlineLevel="0" collapsed="false">
      <c r="A149" s="6" t="s">
        <v>234</v>
      </c>
      <c r="B149" s="6" t="s">
        <v>287</v>
      </c>
      <c r="C149" s="6" t="s">
        <v>288</v>
      </c>
      <c r="D149" s="6" t="s">
        <v>281</v>
      </c>
      <c r="E149" s="6" t="n">
        <v>0</v>
      </c>
      <c r="F149" s="6" t="s">
        <v>289</v>
      </c>
      <c r="G149" s="6" t="n">
        <v>30</v>
      </c>
      <c r="H149" s="6" t="n">
        <v>94.7</v>
      </c>
      <c r="I149" s="6" t="str">
        <f aca="false">IF(E149&gt;=G149,"ALERT","normal")</f>
        <v>normal</v>
      </c>
    </row>
    <row r="150" customFormat="false" ht="15" hidden="false" customHeight="false" outlineLevel="0" collapsed="false">
      <c r="A150" s="6" t="s">
        <v>235</v>
      </c>
      <c r="B150" s="6" t="s">
        <v>287</v>
      </c>
      <c r="C150" s="6" t="s">
        <v>288</v>
      </c>
      <c r="D150" s="6" t="s">
        <v>281</v>
      </c>
      <c r="E150" s="6" t="n">
        <v>8.17</v>
      </c>
      <c r="F150" s="6" t="s">
        <v>289</v>
      </c>
      <c r="G150" s="6" t="n">
        <v>30</v>
      </c>
      <c r="H150" s="6" t="n">
        <v>95.4</v>
      </c>
      <c r="I150" s="6" t="str">
        <f aca="false">IF(E150&gt;=G150,"ALERT","normal")</f>
        <v>normal</v>
      </c>
    </row>
    <row r="151" customFormat="false" ht="15" hidden="false" customHeight="false" outlineLevel="0" collapsed="false">
      <c r="A151" s="6" t="s">
        <v>236</v>
      </c>
      <c r="B151" s="6" t="s">
        <v>287</v>
      </c>
      <c r="C151" s="6" t="s">
        <v>288</v>
      </c>
      <c r="D151" s="6" t="s">
        <v>281</v>
      </c>
      <c r="E151" s="6" t="n">
        <v>8.63</v>
      </c>
      <c r="F151" s="6" t="s">
        <v>289</v>
      </c>
      <c r="G151" s="6" t="n">
        <v>30</v>
      </c>
      <c r="H151" s="6" t="n">
        <v>95.3</v>
      </c>
      <c r="I151" s="6" t="str">
        <f aca="false">IF(E151&gt;=G151,"ALERT","normal")</f>
        <v>normal</v>
      </c>
    </row>
    <row r="152" customFormat="false" ht="15" hidden="false" customHeight="false" outlineLevel="0" collapsed="false">
      <c r="A152" s="6" t="s">
        <v>237</v>
      </c>
      <c r="B152" s="6" t="s">
        <v>287</v>
      </c>
      <c r="C152" s="6" t="s">
        <v>288</v>
      </c>
      <c r="D152" s="6" t="s">
        <v>281</v>
      </c>
      <c r="E152" s="6" t="n">
        <v>0</v>
      </c>
      <c r="F152" s="6" t="s">
        <v>289</v>
      </c>
      <c r="G152" s="6" t="n">
        <v>30</v>
      </c>
      <c r="H152" s="6" t="n">
        <v>94.1</v>
      </c>
      <c r="I152" s="6" t="str">
        <f aca="false">IF(E152&gt;=G152,"ALERT","normal")</f>
        <v>normal</v>
      </c>
    </row>
    <row r="153" customFormat="false" ht="15" hidden="false" customHeight="false" outlineLevel="0" collapsed="false">
      <c r="A153" s="6" t="s">
        <v>238</v>
      </c>
      <c r="B153" s="6" t="s">
        <v>287</v>
      </c>
      <c r="C153" s="6" t="s">
        <v>288</v>
      </c>
      <c r="D153" s="6" t="s">
        <v>281</v>
      </c>
      <c r="E153" s="6" t="n">
        <v>7.06</v>
      </c>
      <c r="F153" s="6" t="s">
        <v>289</v>
      </c>
      <c r="G153" s="6" t="n">
        <v>30</v>
      </c>
      <c r="H153" s="6" t="n">
        <v>94.4</v>
      </c>
      <c r="I153" s="6" t="str">
        <f aca="false">IF(E153&gt;=G153,"ALERT","normal")</f>
        <v>normal</v>
      </c>
    </row>
    <row r="154" customFormat="false" ht="15" hidden="false" customHeight="false" outlineLevel="0" collapsed="false">
      <c r="A154" s="6" t="s">
        <v>239</v>
      </c>
      <c r="B154" s="6" t="s">
        <v>287</v>
      </c>
      <c r="C154" s="6" t="s">
        <v>288</v>
      </c>
      <c r="D154" s="6" t="s">
        <v>281</v>
      </c>
      <c r="E154" s="6" t="n">
        <v>2.87</v>
      </c>
      <c r="F154" s="6" t="s">
        <v>289</v>
      </c>
      <c r="G154" s="6" t="n">
        <v>30</v>
      </c>
      <c r="H154" s="6" t="n">
        <v>94.4</v>
      </c>
      <c r="I154" s="6" t="str">
        <f aca="false">IF(E154&gt;=G154,"ALERT","normal")</f>
        <v>normal</v>
      </c>
    </row>
    <row r="155" customFormat="false" ht="15" hidden="false" customHeight="false" outlineLevel="0" collapsed="false">
      <c r="A155" s="6" t="s">
        <v>240</v>
      </c>
      <c r="B155" s="6" t="s">
        <v>287</v>
      </c>
      <c r="C155" s="6" t="s">
        <v>288</v>
      </c>
      <c r="D155" s="6" t="s">
        <v>281</v>
      </c>
      <c r="E155" s="6" t="n">
        <v>4.6</v>
      </c>
      <c r="F155" s="6" t="s">
        <v>289</v>
      </c>
      <c r="G155" s="6" t="n">
        <v>30</v>
      </c>
      <c r="H155" s="6" t="n">
        <v>93.8</v>
      </c>
      <c r="I155" s="6" t="str">
        <f aca="false">IF(E155&gt;=G155,"ALERT","normal")</f>
        <v>normal</v>
      </c>
    </row>
    <row r="156" customFormat="false" ht="15" hidden="false" customHeight="false" outlineLevel="0" collapsed="false">
      <c r="A156" s="6" t="s">
        <v>241</v>
      </c>
      <c r="B156" s="6" t="s">
        <v>287</v>
      </c>
      <c r="C156" s="6" t="s">
        <v>288</v>
      </c>
      <c r="D156" s="6" t="s">
        <v>281</v>
      </c>
      <c r="E156" s="6" t="n">
        <v>5.11</v>
      </c>
      <c r="F156" s="6" t="s">
        <v>289</v>
      </c>
      <c r="G156" s="6" t="n">
        <v>30</v>
      </c>
      <c r="H156" s="6" t="n">
        <v>94.2</v>
      </c>
      <c r="I156" s="6" t="str">
        <f aca="false">IF(E156&gt;=G156,"ALERT","normal")</f>
        <v>normal</v>
      </c>
    </row>
    <row r="157" customFormat="false" ht="15" hidden="false" customHeight="false" outlineLevel="0" collapsed="false">
      <c r="A157" s="6" t="s">
        <v>242</v>
      </c>
      <c r="B157" s="6" t="s">
        <v>287</v>
      </c>
      <c r="C157" s="6" t="s">
        <v>288</v>
      </c>
      <c r="D157" s="6" t="s">
        <v>281</v>
      </c>
      <c r="E157" s="6" t="n">
        <v>7.28</v>
      </c>
      <c r="F157" s="6" t="s">
        <v>289</v>
      </c>
      <c r="G157" s="6" t="n">
        <v>30</v>
      </c>
      <c r="H157" s="6" t="n">
        <v>94.1</v>
      </c>
      <c r="I157" s="6" t="str">
        <f aca="false">IF(E157&gt;=G157,"ALERT","normal")</f>
        <v>normal</v>
      </c>
    </row>
    <row r="158" customFormat="false" ht="15" hidden="false" customHeight="false" outlineLevel="0" collapsed="false">
      <c r="A158" s="6" t="s">
        <v>243</v>
      </c>
      <c r="B158" s="6" t="s">
        <v>287</v>
      </c>
      <c r="C158" s="6" t="s">
        <v>288</v>
      </c>
      <c r="D158" s="6" t="s">
        <v>281</v>
      </c>
      <c r="E158" s="6" t="n">
        <v>3.66</v>
      </c>
      <c r="F158" s="6" t="s">
        <v>289</v>
      </c>
      <c r="G158" s="6" t="n">
        <v>30</v>
      </c>
      <c r="H158" s="6" t="n">
        <v>94.6</v>
      </c>
      <c r="I158" s="6" t="str">
        <f aca="false">IF(E158&gt;=G158,"ALERT","normal")</f>
        <v>normal</v>
      </c>
    </row>
    <row r="159" customFormat="false" ht="15" hidden="false" customHeight="false" outlineLevel="0" collapsed="false">
      <c r="A159" s="6" t="s">
        <v>244</v>
      </c>
      <c r="B159" s="6" t="s">
        <v>287</v>
      </c>
      <c r="C159" s="6" t="s">
        <v>288</v>
      </c>
      <c r="D159" s="6" t="s">
        <v>281</v>
      </c>
      <c r="E159" s="6" t="n">
        <v>8.99</v>
      </c>
      <c r="F159" s="6" t="s">
        <v>289</v>
      </c>
      <c r="G159" s="6" t="n">
        <v>30</v>
      </c>
      <c r="H159" s="6" t="n">
        <v>94.6</v>
      </c>
      <c r="I159" s="6" t="str">
        <f aca="false">IF(E159&gt;=G159,"ALERT","normal")</f>
        <v>normal</v>
      </c>
    </row>
    <row r="160" customFormat="false" ht="15" hidden="false" customHeight="false" outlineLevel="0" collapsed="false">
      <c r="A160" s="6" t="s">
        <v>245</v>
      </c>
      <c r="B160" s="6" t="s">
        <v>287</v>
      </c>
      <c r="C160" s="6" t="s">
        <v>288</v>
      </c>
      <c r="D160" s="6" t="s">
        <v>281</v>
      </c>
      <c r="E160" s="6" t="n">
        <v>4.62</v>
      </c>
      <c r="F160" s="6" t="s">
        <v>289</v>
      </c>
      <c r="G160" s="6" t="n">
        <v>30</v>
      </c>
      <c r="H160" s="6" t="n">
        <v>93.7</v>
      </c>
      <c r="I160" s="6" t="str">
        <f aca="false">IF(E160&gt;=G160,"ALERT","normal")</f>
        <v>normal</v>
      </c>
    </row>
    <row r="161" customFormat="false" ht="15" hidden="false" customHeight="false" outlineLevel="0" collapsed="false">
      <c r="A161" s="6" t="s">
        <v>246</v>
      </c>
      <c r="B161" s="6" t="s">
        <v>287</v>
      </c>
      <c r="C161" s="6" t="s">
        <v>288</v>
      </c>
      <c r="D161" s="6" t="s">
        <v>281</v>
      </c>
      <c r="E161" s="6" t="n">
        <v>5.9</v>
      </c>
      <c r="F161" s="6" t="s">
        <v>289</v>
      </c>
      <c r="G161" s="6" t="n">
        <v>30</v>
      </c>
      <c r="H161" s="6" t="n">
        <v>93.7</v>
      </c>
      <c r="I161" s="6" t="str">
        <f aca="false">IF(E161&gt;=G161,"ALERT","normal")</f>
        <v>normal</v>
      </c>
    </row>
    <row r="162" customFormat="false" ht="15" hidden="false" customHeight="false" outlineLevel="0" collapsed="false">
      <c r="A162" s="6" t="s">
        <v>247</v>
      </c>
      <c r="B162" s="6" t="s">
        <v>287</v>
      </c>
      <c r="C162" s="6" t="s">
        <v>288</v>
      </c>
      <c r="D162" s="6" t="s">
        <v>281</v>
      </c>
      <c r="E162" s="6" t="n">
        <v>0.1</v>
      </c>
      <c r="F162" s="6" t="s">
        <v>289</v>
      </c>
      <c r="G162" s="6" t="n">
        <v>30</v>
      </c>
      <c r="H162" s="6" t="n">
        <v>94.1</v>
      </c>
      <c r="I162" s="6" t="str">
        <f aca="false">IF(E162&gt;=G162,"ALERT","normal")</f>
        <v>normal</v>
      </c>
    </row>
    <row r="163" customFormat="false" ht="15" hidden="false" customHeight="false" outlineLevel="0" collapsed="false">
      <c r="A163" s="6" t="s">
        <v>248</v>
      </c>
      <c r="B163" s="6" t="s">
        <v>287</v>
      </c>
      <c r="C163" s="6" t="s">
        <v>288</v>
      </c>
      <c r="D163" s="6" t="s">
        <v>281</v>
      </c>
      <c r="E163" s="6" t="n">
        <v>12.1</v>
      </c>
      <c r="F163" s="6" t="s">
        <v>289</v>
      </c>
      <c r="G163" s="6" t="n">
        <v>30</v>
      </c>
      <c r="H163" s="6" t="n">
        <v>93.3</v>
      </c>
      <c r="I163" s="6" t="str">
        <f aca="false">IF(E163&gt;=G163,"ALERT","normal")</f>
        <v>normal</v>
      </c>
    </row>
    <row r="164" customFormat="false" ht="15" hidden="false" customHeight="false" outlineLevel="0" collapsed="false">
      <c r="A164" s="6" t="s">
        <v>249</v>
      </c>
      <c r="B164" s="6" t="s">
        <v>287</v>
      </c>
      <c r="C164" s="6" t="s">
        <v>288</v>
      </c>
      <c r="D164" s="6" t="s">
        <v>281</v>
      </c>
      <c r="E164" s="6" t="n">
        <v>5.37</v>
      </c>
      <c r="F164" s="6" t="s">
        <v>289</v>
      </c>
      <c r="G164" s="6" t="n">
        <v>30</v>
      </c>
      <c r="H164" s="6" t="n">
        <v>93.9</v>
      </c>
      <c r="I164" s="6" t="str">
        <f aca="false">IF(E164&gt;=G164,"ALERT","normal")</f>
        <v>normal</v>
      </c>
    </row>
    <row r="165" customFormat="false" ht="15" hidden="false" customHeight="false" outlineLevel="0" collapsed="false">
      <c r="A165" s="6" t="s">
        <v>250</v>
      </c>
      <c r="B165" s="6" t="s">
        <v>287</v>
      </c>
      <c r="C165" s="6" t="s">
        <v>288</v>
      </c>
      <c r="D165" s="6" t="s">
        <v>281</v>
      </c>
      <c r="E165" s="6" t="n">
        <v>6.37</v>
      </c>
      <c r="F165" s="6" t="s">
        <v>289</v>
      </c>
      <c r="G165" s="6" t="n">
        <v>30</v>
      </c>
      <c r="H165" s="6" t="n">
        <v>93.4</v>
      </c>
      <c r="I165" s="6" t="str">
        <f aca="false">IF(E165&gt;=G165,"ALERT","normal")</f>
        <v>normal</v>
      </c>
    </row>
    <row r="166" customFormat="false" ht="15" hidden="false" customHeight="false" outlineLevel="0" collapsed="false">
      <c r="A166" s="6" t="s">
        <v>251</v>
      </c>
      <c r="B166" s="6" t="s">
        <v>287</v>
      </c>
      <c r="C166" s="6" t="s">
        <v>288</v>
      </c>
      <c r="D166" s="6" t="s">
        <v>281</v>
      </c>
      <c r="E166" s="6" t="n">
        <v>0</v>
      </c>
      <c r="F166" s="6" t="s">
        <v>289</v>
      </c>
      <c r="G166" s="6" t="n">
        <v>30</v>
      </c>
      <c r="H166" s="6" t="n">
        <v>92.9</v>
      </c>
      <c r="I166" s="6" t="str">
        <f aca="false">IF(E166&gt;=G166,"ALERT","normal")</f>
        <v>normal</v>
      </c>
    </row>
    <row r="167" customFormat="false" ht="15" hidden="false" customHeight="false" outlineLevel="0" collapsed="false">
      <c r="A167" s="6" t="s">
        <v>252</v>
      </c>
      <c r="B167" s="6" t="s">
        <v>287</v>
      </c>
      <c r="C167" s="6" t="s">
        <v>288</v>
      </c>
      <c r="D167" s="6" t="s">
        <v>281</v>
      </c>
      <c r="E167" s="6" t="n">
        <v>0.28</v>
      </c>
      <c r="F167" s="6" t="s">
        <v>289</v>
      </c>
      <c r="G167" s="6" t="n">
        <v>30</v>
      </c>
      <c r="H167" s="6" t="n">
        <v>92.8</v>
      </c>
      <c r="I167" s="6" t="str">
        <f aca="false">IF(E167&gt;=G167,"ALERT","normal")</f>
        <v>normal</v>
      </c>
    </row>
    <row r="168" customFormat="false" ht="15" hidden="false" customHeight="false" outlineLevel="0" collapsed="false">
      <c r="A168" s="6" t="s">
        <v>253</v>
      </c>
      <c r="B168" s="6" t="s">
        <v>287</v>
      </c>
      <c r="C168" s="6" t="s">
        <v>288</v>
      </c>
      <c r="D168" s="6" t="s">
        <v>281</v>
      </c>
      <c r="E168" s="6" t="n">
        <v>8.55</v>
      </c>
      <c r="F168" s="6" t="s">
        <v>289</v>
      </c>
      <c r="G168" s="6" t="n">
        <v>30</v>
      </c>
      <c r="H168" s="6" t="n">
        <v>94</v>
      </c>
      <c r="I168" s="6" t="str">
        <f aca="false">IF(E168&gt;=G168,"ALERT","normal")</f>
        <v>normal</v>
      </c>
    </row>
    <row r="169" customFormat="false" ht="15" hidden="false" customHeight="false" outlineLevel="0" collapsed="false">
      <c r="A169" s="6" t="s">
        <v>254</v>
      </c>
      <c r="B169" s="6" t="s">
        <v>287</v>
      </c>
      <c r="C169" s="6" t="s">
        <v>288</v>
      </c>
      <c r="D169" s="6" t="s">
        <v>281</v>
      </c>
      <c r="E169" s="6" t="n">
        <v>4.77</v>
      </c>
      <c r="F169" s="6" t="s">
        <v>289</v>
      </c>
      <c r="G169" s="6" t="n">
        <v>30</v>
      </c>
      <c r="H169" s="6" t="n">
        <v>93.1</v>
      </c>
      <c r="I169" s="6" t="str">
        <f aca="false">IF(E169&gt;=G169,"ALERT","normal")</f>
        <v>normal</v>
      </c>
    </row>
    <row r="170" customFormat="false" ht="15" hidden="false" customHeight="false" outlineLevel="0" collapsed="false">
      <c r="A170" s="6" t="s">
        <v>255</v>
      </c>
      <c r="B170" s="6" t="s">
        <v>287</v>
      </c>
      <c r="C170" s="6" t="s">
        <v>288</v>
      </c>
      <c r="D170" s="6" t="s">
        <v>281</v>
      </c>
      <c r="E170" s="6" t="n">
        <v>0</v>
      </c>
      <c r="F170" s="6" t="s">
        <v>289</v>
      </c>
      <c r="G170" s="6" t="n">
        <v>30</v>
      </c>
      <c r="H170" s="6" t="n">
        <v>93.9</v>
      </c>
      <c r="I170" s="6" t="str">
        <f aca="false">IF(E170&gt;=G170,"ALERT","normal")</f>
        <v>normal</v>
      </c>
    </row>
    <row r="171" customFormat="false" ht="15" hidden="false" customHeight="false" outlineLevel="0" collapsed="false">
      <c r="A171" s="6" t="s">
        <v>256</v>
      </c>
      <c r="B171" s="6" t="s">
        <v>287</v>
      </c>
      <c r="C171" s="6" t="s">
        <v>288</v>
      </c>
      <c r="D171" s="6" t="s">
        <v>281</v>
      </c>
      <c r="E171" s="6" t="n">
        <v>7.83</v>
      </c>
      <c r="F171" s="6" t="s">
        <v>289</v>
      </c>
      <c r="G171" s="6" t="n">
        <v>30</v>
      </c>
      <c r="H171" s="6" t="n">
        <v>92.7</v>
      </c>
      <c r="I171" s="6" t="str">
        <f aca="false">IF(E171&gt;=G171,"ALERT","normal")</f>
        <v>normal</v>
      </c>
    </row>
    <row r="172" customFormat="false" ht="15" hidden="false" customHeight="false" outlineLevel="0" collapsed="false">
      <c r="A172" s="6" t="s">
        <v>257</v>
      </c>
      <c r="B172" s="6" t="s">
        <v>287</v>
      </c>
      <c r="C172" s="6" t="s">
        <v>288</v>
      </c>
      <c r="D172" s="6" t="s">
        <v>281</v>
      </c>
      <c r="E172" s="6" t="n">
        <v>1.53</v>
      </c>
      <c r="F172" s="6" t="s">
        <v>289</v>
      </c>
      <c r="G172" s="6" t="n">
        <v>30</v>
      </c>
      <c r="H172" s="6" t="n">
        <v>93.1</v>
      </c>
      <c r="I172" s="6" t="str">
        <f aca="false">IF(E172&gt;=G172,"ALERT","normal")</f>
        <v>normal</v>
      </c>
    </row>
    <row r="173" customFormat="false" ht="15" hidden="false" customHeight="false" outlineLevel="0" collapsed="false">
      <c r="A173" s="6" t="s">
        <v>258</v>
      </c>
      <c r="B173" s="6" t="s">
        <v>287</v>
      </c>
      <c r="C173" s="6" t="s">
        <v>288</v>
      </c>
      <c r="D173" s="6" t="s">
        <v>281</v>
      </c>
      <c r="E173" s="6" t="n">
        <v>9.38</v>
      </c>
      <c r="F173" s="6" t="s">
        <v>289</v>
      </c>
      <c r="G173" s="6" t="n">
        <v>30</v>
      </c>
      <c r="H173" s="6" t="n">
        <v>94</v>
      </c>
      <c r="I173" s="6" t="str">
        <f aca="false">IF(E173&gt;=G173,"ALERT","normal")</f>
        <v>normal</v>
      </c>
    </row>
    <row r="174" customFormat="false" ht="15" hidden="false" customHeight="false" outlineLevel="0" collapsed="false">
      <c r="A174" s="6" t="s">
        <v>259</v>
      </c>
      <c r="B174" s="6" t="s">
        <v>287</v>
      </c>
      <c r="C174" s="6" t="s">
        <v>288</v>
      </c>
      <c r="D174" s="6" t="s">
        <v>281</v>
      </c>
      <c r="E174" s="6" t="n">
        <v>3.41</v>
      </c>
      <c r="F174" s="6" t="s">
        <v>289</v>
      </c>
      <c r="G174" s="6" t="n">
        <v>30</v>
      </c>
      <c r="H174" s="6" t="n">
        <v>92.2</v>
      </c>
      <c r="I174" s="6" t="str">
        <f aca="false">IF(E174&gt;=G174,"ALERT","normal")</f>
        <v>normal</v>
      </c>
    </row>
    <row r="175" customFormat="false" ht="15" hidden="false" customHeight="false" outlineLevel="0" collapsed="false">
      <c r="A175" s="6" t="s">
        <v>260</v>
      </c>
      <c r="B175" s="6" t="s">
        <v>287</v>
      </c>
      <c r="C175" s="6" t="s">
        <v>288</v>
      </c>
      <c r="D175" s="6" t="s">
        <v>281</v>
      </c>
      <c r="E175" s="6" t="n">
        <v>4.61</v>
      </c>
      <c r="F175" s="6" t="s">
        <v>289</v>
      </c>
      <c r="G175" s="6" t="n">
        <v>30</v>
      </c>
      <c r="H175" s="6" t="n">
        <v>91.7</v>
      </c>
      <c r="I175" s="6" t="str">
        <f aca="false">IF(E175&gt;=G175,"ALERT","normal")</f>
        <v>normal</v>
      </c>
    </row>
    <row r="176" customFormat="false" ht="15" hidden="false" customHeight="false" outlineLevel="0" collapsed="false">
      <c r="A176" s="6" t="s">
        <v>261</v>
      </c>
      <c r="B176" s="6" t="s">
        <v>287</v>
      </c>
      <c r="C176" s="6" t="s">
        <v>288</v>
      </c>
      <c r="D176" s="6" t="s">
        <v>281</v>
      </c>
      <c r="E176" s="6" t="n">
        <v>8.53</v>
      </c>
      <c r="F176" s="6" t="s">
        <v>289</v>
      </c>
      <c r="G176" s="6" t="n">
        <v>30</v>
      </c>
      <c r="H176" s="6" t="n">
        <v>93.2</v>
      </c>
      <c r="I176" s="6" t="str">
        <f aca="false">IF(E176&gt;=G176,"ALERT","normal")</f>
        <v>normal</v>
      </c>
    </row>
    <row r="177" customFormat="false" ht="15" hidden="false" customHeight="false" outlineLevel="0" collapsed="false">
      <c r="A177" s="6" t="s">
        <v>262</v>
      </c>
      <c r="B177" s="6" t="s">
        <v>287</v>
      </c>
      <c r="C177" s="6" t="s">
        <v>288</v>
      </c>
      <c r="D177" s="6" t="s">
        <v>281</v>
      </c>
      <c r="E177" s="6" t="n">
        <v>0.25</v>
      </c>
      <c r="F177" s="6" t="s">
        <v>289</v>
      </c>
      <c r="G177" s="6" t="n">
        <v>30</v>
      </c>
      <c r="H177" s="6" t="n">
        <v>92.1</v>
      </c>
      <c r="I177" s="6" t="str">
        <f aca="false">IF(E177&gt;=G177,"ALERT","normal")</f>
        <v>normal</v>
      </c>
    </row>
    <row r="178" customFormat="false" ht="15" hidden="false" customHeight="false" outlineLevel="0" collapsed="false">
      <c r="A178" s="6" t="s">
        <v>263</v>
      </c>
      <c r="B178" s="6" t="s">
        <v>287</v>
      </c>
      <c r="C178" s="6" t="s">
        <v>288</v>
      </c>
      <c r="D178" s="6" t="s">
        <v>281</v>
      </c>
      <c r="E178" s="6" t="n">
        <v>0</v>
      </c>
      <c r="F178" s="6" t="s">
        <v>289</v>
      </c>
      <c r="G178" s="6" t="n">
        <v>30</v>
      </c>
      <c r="H178" s="6" t="n">
        <v>92.4</v>
      </c>
      <c r="I178" s="6" t="str">
        <f aca="false">IF(E178&gt;=G178,"ALERT","normal")</f>
        <v>normal</v>
      </c>
    </row>
    <row r="179" customFormat="false" ht="15" hidden="false" customHeight="false" outlineLevel="0" collapsed="false">
      <c r="A179" s="6" t="s">
        <v>264</v>
      </c>
      <c r="B179" s="6" t="s">
        <v>287</v>
      </c>
      <c r="C179" s="6" t="s">
        <v>288</v>
      </c>
      <c r="D179" s="6" t="s">
        <v>281</v>
      </c>
      <c r="E179" s="6" t="n">
        <v>3.11</v>
      </c>
      <c r="F179" s="6" t="s">
        <v>289</v>
      </c>
      <c r="G179" s="6" t="n">
        <v>30</v>
      </c>
      <c r="H179" s="6" t="n">
        <v>92.1</v>
      </c>
      <c r="I179" s="6" t="str">
        <f aca="false">IF(E179&gt;=G179,"ALERT","normal")</f>
        <v>normal</v>
      </c>
    </row>
    <row r="180" customFormat="false" ht="15" hidden="false" customHeight="false" outlineLevel="0" collapsed="false">
      <c r="A180" s="6" t="s">
        <v>265</v>
      </c>
      <c r="B180" s="6" t="s">
        <v>287</v>
      </c>
      <c r="C180" s="6" t="s">
        <v>288</v>
      </c>
      <c r="D180" s="6" t="s">
        <v>281</v>
      </c>
      <c r="E180" s="6" t="n">
        <v>7.23</v>
      </c>
      <c r="F180" s="6" t="s">
        <v>289</v>
      </c>
      <c r="G180" s="6" t="n">
        <v>30</v>
      </c>
      <c r="H180" s="6" t="n">
        <v>92.4</v>
      </c>
      <c r="I180" s="6" t="str">
        <f aca="false">IF(E180&gt;=G180,"ALERT","normal")</f>
        <v>normal</v>
      </c>
    </row>
    <row r="181" customFormat="false" ht="15" hidden="false" customHeight="false" outlineLevel="0" collapsed="false">
      <c r="A181" s="6" t="s">
        <v>266</v>
      </c>
      <c r="B181" s="6" t="s">
        <v>287</v>
      </c>
      <c r="C181" s="6" t="s">
        <v>288</v>
      </c>
      <c r="D181" s="6" t="s">
        <v>281</v>
      </c>
      <c r="E181" s="6" t="n">
        <v>0</v>
      </c>
      <c r="F181" s="6" t="s">
        <v>289</v>
      </c>
      <c r="G181" s="6" t="n">
        <v>30</v>
      </c>
      <c r="H181" s="6" t="n">
        <v>91.7</v>
      </c>
      <c r="I181" s="6" t="str">
        <f aca="false">IF(E181&gt;=G181,"ALERT","normal")</f>
        <v>normal</v>
      </c>
    </row>
    <row r="182" customFormat="false" ht="15" hidden="false" customHeight="false" outlineLevel="0" collapsed="false">
      <c r="A182" s="6" t="s">
        <v>267</v>
      </c>
      <c r="B182" s="6" t="s">
        <v>287</v>
      </c>
      <c r="C182" s="6" t="s">
        <v>288</v>
      </c>
      <c r="D182" s="6" t="s">
        <v>281</v>
      </c>
      <c r="E182" s="6" t="n">
        <v>0</v>
      </c>
      <c r="F182" s="6" t="s">
        <v>289</v>
      </c>
      <c r="G182" s="6" t="n">
        <v>30</v>
      </c>
      <c r="H182" s="6" t="n">
        <v>92</v>
      </c>
      <c r="I182" s="6" t="str">
        <f aca="false">IF(E182&gt;=G182,"ALERT","normal")</f>
        <v>normal</v>
      </c>
    </row>
    <row r="183" customFormat="false" ht="15" hidden="false" customHeight="false" outlineLevel="0" collapsed="false">
      <c r="A183" s="6" t="s">
        <v>268</v>
      </c>
      <c r="B183" s="6" t="s">
        <v>287</v>
      </c>
      <c r="C183" s="6" t="s">
        <v>288</v>
      </c>
      <c r="D183" s="6" t="s">
        <v>281</v>
      </c>
      <c r="E183" s="6" t="n">
        <v>7.3</v>
      </c>
      <c r="F183" s="6" t="s">
        <v>289</v>
      </c>
      <c r="G183" s="6" t="n">
        <v>30</v>
      </c>
      <c r="H183" s="6" t="n">
        <v>92.3</v>
      </c>
      <c r="I183" s="6" t="str">
        <f aca="false">IF(E183&gt;=G183,"ALERT","normal")</f>
        <v>normal</v>
      </c>
    </row>
    <row r="184" customFormat="false" ht="15" hidden="false" customHeight="false" outlineLevel="0" collapsed="false">
      <c r="A184" s="6" t="s">
        <v>269</v>
      </c>
      <c r="B184" s="6" t="s">
        <v>287</v>
      </c>
      <c r="C184" s="6" t="s">
        <v>288</v>
      </c>
      <c r="D184" s="6" t="s">
        <v>281</v>
      </c>
      <c r="E184" s="6" t="n">
        <v>1.62</v>
      </c>
      <c r="F184" s="6" t="s">
        <v>289</v>
      </c>
      <c r="G184" s="6" t="n">
        <v>30</v>
      </c>
      <c r="H184" s="6" t="n">
        <v>91.5</v>
      </c>
      <c r="I184" s="6" t="str">
        <f aca="false">IF(E184&gt;=G184,"ALERT","normal")</f>
        <v>normal</v>
      </c>
    </row>
    <row r="185" customFormat="false" ht="15" hidden="false" customHeight="false" outlineLevel="0" collapsed="false">
      <c r="A185" s="6" t="s">
        <v>270</v>
      </c>
      <c r="B185" s="6" t="s">
        <v>287</v>
      </c>
      <c r="C185" s="6" t="s">
        <v>288</v>
      </c>
      <c r="D185" s="6" t="s">
        <v>281</v>
      </c>
      <c r="E185" s="6" t="n">
        <v>2.49</v>
      </c>
      <c r="F185" s="6" t="s">
        <v>289</v>
      </c>
      <c r="G185" s="6" t="n">
        <v>30</v>
      </c>
      <c r="H185" s="6" t="n">
        <v>91.5</v>
      </c>
      <c r="I185" s="6" t="str">
        <f aca="false">IF(E185&gt;=G185,"ALERT","normal")</f>
        <v>normal</v>
      </c>
    </row>
    <row r="186" customFormat="false" ht="15" hidden="false" customHeight="false" outlineLevel="0" collapsed="false">
      <c r="A186" s="6" t="s">
        <v>271</v>
      </c>
      <c r="B186" s="6" t="s">
        <v>287</v>
      </c>
      <c r="C186" s="6" t="s">
        <v>288</v>
      </c>
      <c r="D186" s="6" t="s">
        <v>281</v>
      </c>
      <c r="E186" s="6" t="n">
        <v>0</v>
      </c>
      <c r="F186" s="6" t="s">
        <v>289</v>
      </c>
      <c r="G186" s="6" t="n">
        <v>30</v>
      </c>
      <c r="H186" s="6" t="n">
        <v>91.6</v>
      </c>
      <c r="I186" s="6" t="str">
        <f aca="false">IF(E186&gt;=G186,"ALERT","normal")</f>
        <v>normal</v>
      </c>
    </row>
    <row r="187" customFormat="false" ht="15" hidden="false" customHeight="false" outlineLevel="0" collapsed="false">
      <c r="A187" s="6" t="s">
        <v>272</v>
      </c>
      <c r="B187" s="6" t="s">
        <v>287</v>
      </c>
      <c r="C187" s="6" t="s">
        <v>288</v>
      </c>
      <c r="D187" s="6" t="s">
        <v>281</v>
      </c>
      <c r="E187" s="6" t="n">
        <v>1.4</v>
      </c>
      <c r="F187" s="6" t="s">
        <v>289</v>
      </c>
      <c r="G187" s="6" t="n">
        <v>30</v>
      </c>
      <c r="H187" s="6" t="n">
        <v>91</v>
      </c>
      <c r="I187" s="6" t="str">
        <f aca="false">IF(E187&gt;=G187,"ALERT","normal")</f>
        <v>normal</v>
      </c>
    </row>
    <row r="188" customFormat="false" ht="15" hidden="false" customHeight="false" outlineLevel="0" collapsed="false">
      <c r="A188" s="6" t="s">
        <v>273</v>
      </c>
      <c r="B188" s="6" t="s">
        <v>287</v>
      </c>
      <c r="C188" s="6" t="s">
        <v>288</v>
      </c>
      <c r="D188" s="6" t="s">
        <v>281</v>
      </c>
      <c r="E188" s="6" t="n">
        <v>4.11</v>
      </c>
      <c r="F188" s="6" t="s">
        <v>289</v>
      </c>
      <c r="G188" s="6" t="n">
        <v>30</v>
      </c>
      <c r="H188" s="6" t="n">
        <v>91.4</v>
      </c>
      <c r="I188" s="6" t="str">
        <f aca="false">IF(E188&gt;=G188,"ALERT","normal")</f>
        <v>normal</v>
      </c>
    </row>
    <row r="189" customFormat="false" ht="15" hidden="false" customHeight="false" outlineLevel="0" collapsed="false">
      <c r="A189" s="6" t="s">
        <v>274</v>
      </c>
      <c r="B189" s="6" t="s">
        <v>287</v>
      </c>
      <c r="C189" s="6" t="s">
        <v>288</v>
      </c>
      <c r="D189" s="6" t="s">
        <v>281</v>
      </c>
      <c r="E189" s="6" t="n">
        <v>7.89</v>
      </c>
      <c r="F189" s="6" t="s">
        <v>289</v>
      </c>
      <c r="G189" s="6" t="n">
        <v>30</v>
      </c>
      <c r="H189" s="6" t="n">
        <v>91.6</v>
      </c>
      <c r="I189" s="6" t="str">
        <f aca="false">IF(E189&gt;=G189,"ALERT","normal")</f>
        <v>normal</v>
      </c>
    </row>
    <row r="190" customFormat="false" ht="15" hidden="false" customHeight="false" outlineLevel="0" collapsed="false">
      <c r="A190" s="6" t="s">
        <v>275</v>
      </c>
      <c r="B190" s="6" t="s">
        <v>287</v>
      </c>
      <c r="C190" s="6" t="s">
        <v>288</v>
      </c>
      <c r="D190" s="6" t="s">
        <v>281</v>
      </c>
      <c r="E190" s="6" t="n">
        <v>1.11</v>
      </c>
      <c r="F190" s="6" t="s">
        <v>289</v>
      </c>
      <c r="G190" s="6" t="n">
        <v>30</v>
      </c>
      <c r="H190" s="6" t="n">
        <v>91.3</v>
      </c>
      <c r="I190" s="6" t="str">
        <f aca="false">IF(E190&gt;=G190,"ALERT","normal")</f>
        <v>normal</v>
      </c>
    </row>
    <row r="191" customFormat="false" ht="15" hidden="false" customHeight="false" outlineLevel="0" collapsed="false">
      <c r="A191" s="6" t="s">
        <v>276</v>
      </c>
      <c r="B191" s="6" t="s">
        <v>287</v>
      </c>
      <c r="C191" s="6" t="s">
        <v>288</v>
      </c>
      <c r="D191" s="6" t="s">
        <v>281</v>
      </c>
      <c r="E191" s="6" t="n">
        <v>10.85</v>
      </c>
      <c r="F191" s="6" t="s">
        <v>289</v>
      </c>
      <c r="G191" s="6" t="n">
        <v>30</v>
      </c>
      <c r="H191" s="6" t="n">
        <v>91.3</v>
      </c>
      <c r="I191" s="6" t="str">
        <f aca="false">IF(E191&gt;=G191,"ALERT","normal")</f>
        <v>normal</v>
      </c>
    </row>
    <row r="192" customFormat="false" ht="15" hidden="false" customHeight="false" outlineLevel="0" collapsed="false">
      <c r="A192" s="6" t="s">
        <v>277</v>
      </c>
      <c r="B192" s="6" t="s">
        <v>287</v>
      </c>
      <c r="C192" s="6" t="s">
        <v>288</v>
      </c>
      <c r="D192" s="6" t="s">
        <v>281</v>
      </c>
      <c r="E192" s="6" t="n">
        <v>1.51</v>
      </c>
      <c r="F192" s="6" t="s">
        <v>289</v>
      </c>
      <c r="G192" s="6" t="n">
        <v>30</v>
      </c>
      <c r="H192" s="6" t="n">
        <v>91.3</v>
      </c>
      <c r="I192" s="6" t="str">
        <f aca="false">IF(E192&gt;=G192,"ALERT","normal")</f>
        <v>normal</v>
      </c>
    </row>
    <row r="193" customFormat="false" ht="15" hidden="false" customHeight="false" outlineLevel="0" collapsed="false">
      <c r="A193" s="6" t="s">
        <v>278</v>
      </c>
      <c r="B193" s="6" t="s">
        <v>287</v>
      </c>
      <c r="C193" s="6" t="s">
        <v>288</v>
      </c>
      <c r="D193" s="6" t="s">
        <v>281</v>
      </c>
      <c r="E193" s="6" t="n">
        <v>1.54</v>
      </c>
      <c r="F193" s="6" t="s">
        <v>289</v>
      </c>
      <c r="G193" s="6" t="n">
        <v>30</v>
      </c>
      <c r="H193" s="6" t="n">
        <v>90.9</v>
      </c>
      <c r="I193" s="6" t="str">
        <f aca="false">IF(E193&gt;=G193,"ALERT","normal")</f>
        <v>normal</v>
      </c>
    </row>
    <row r="194" customFormat="false" ht="15" hidden="false" customHeight="false" outlineLevel="0" collapsed="false">
      <c r="A194" s="6" t="s">
        <v>227</v>
      </c>
      <c r="B194" s="6" t="s">
        <v>290</v>
      </c>
      <c r="C194" s="6" t="s">
        <v>291</v>
      </c>
      <c r="D194" s="6" t="s">
        <v>292</v>
      </c>
      <c r="E194" s="6" t="n">
        <v>2.43</v>
      </c>
      <c r="F194" s="6" t="s">
        <v>293</v>
      </c>
      <c r="G194" s="6" t="n">
        <v>10</v>
      </c>
      <c r="H194" s="6" t="n">
        <v>94.5</v>
      </c>
      <c r="I194" s="6" t="str">
        <f aca="false">IF(E194&gt;=G194,"ALERT","normal")</f>
        <v>normal</v>
      </c>
    </row>
    <row r="195" customFormat="false" ht="15" hidden="false" customHeight="false" outlineLevel="0" collapsed="false">
      <c r="A195" s="6" t="s">
        <v>232</v>
      </c>
      <c r="B195" s="6" t="s">
        <v>290</v>
      </c>
      <c r="C195" s="6" t="s">
        <v>291</v>
      </c>
      <c r="D195" s="6" t="s">
        <v>292</v>
      </c>
      <c r="E195" s="6" t="n">
        <v>1.88</v>
      </c>
      <c r="F195" s="6" t="s">
        <v>293</v>
      </c>
      <c r="G195" s="6" t="n">
        <v>10</v>
      </c>
      <c r="H195" s="6" t="n">
        <v>95</v>
      </c>
      <c r="I195" s="6" t="str">
        <f aca="false">IF(E195&gt;=G195,"ALERT","normal")</f>
        <v>normal</v>
      </c>
    </row>
    <row r="196" customFormat="false" ht="15" hidden="false" customHeight="false" outlineLevel="0" collapsed="false">
      <c r="A196" s="6" t="s">
        <v>233</v>
      </c>
      <c r="B196" s="6" t="s">
        <v>290</v>
      </c>
      <c r="C196" s="6" t="s">
        <v>291</v>
      </c>
      <c r="D196" s="6" t="s">
        <v>292</v>
      </c>
      <c r="E196" s="6" t="n">
        <v>2.18</v>
      </c>
      <c r="F196" s="6" t="s">
        <v>293</v>
      </c>
      <c r="G196" s="6" t="n">
        <v>10</v>
      </c>
      <c r="H196" s="6" t="n">
        <v>95.5</v>
      </c>
      <c r="I196" s="6" t="str">
        <f aca="false">IF(E196&gt;=G196,"ALERT","normal")</f>
        <v>normal</v>
      </c>
    </row>
    <row r="197" customFormat="false" ht="15" hidden="false" customHeight="false" outlineLevel="0" collapsed="false">
      <c r="A197" s="6" t="s">
        <v>234</v>
      </c>
      <c r="B197" s="6" t="s">
        <v>290</v>
      </c>
      <c r="C197" s="6" t="s">
        <v>291</v>
      </c>
      <c r="D197" s="6" t="s">
        <v>292</v>
      </c>
      <c r="E197" s="6" t="n">
        <v>1.99</v>
      </c>
      <c r="F197" s="6" t="s">
        <v>293</v>
      </c>
      <c r="G197" s="6" t="n">
        <v>10</v>
      </c>
      <c r="H197" s="6" t="n">
        <v>93.9</v>
      </c>
      <c r="I197" s="6" t="str">
        <f aca="false">IF(E197&gt;=G197,"ALERT","normal")</f>
        <v>normal</v>
      </c>
    </row>
    <row r="198" customFormat="false" ht="15" hidden="false" customHeight="false" outlineLevel="0" collapsed="false">
      <c r="A198" s="6" t="s">
        <v>235</v>
      </c>
      <c r="B198" s="6" t="s">
        <v>290</v>
      </c>
      <c r="C198" s="6" t="s">
        <v>291</v>
      </c>
      <c r="D198" s="6" t="s">
        <v>292</v>
      </c>
      <c r="E198" s="6" t="n">
        <v>2.19</v>
      </c>
      <c r="F198" s="6" t="s">
        <v>293</v>
      </c>
      <c r="G198" s="6" t="n">
        <v>10</v>
      </c>
      <c r="H198" s="6" t="n">
        <v>94.8</v>
      </c>
      <c r="I198" s="6" t="str">
        <f aca="false">IF(E198&gt;=G198,"ALERT","normal")</f>
        <v>normal</v>
      </c>
    </row>
    <row r="199" customFormat="false" ht="15" hidden="false" customHeight="false" outlineLevel="0" collapsed="false">
      <c r="A199" s="6" t="s">
        <v>236</v>
      </c>
      <c r="B199" s="6" t="s">
        <v>290</v>
      </c>
      <c r="C199" s="6" t="s">
        <v>291</v>
      </c>
      <c r="D199" s="6" t="s">
        <v>292</v>
      </c>
      <c r="E199" s="6" t="n">
        <v>2.57</v>
      </c>
      <c r="F199" s="6" t="s">
        <v>293</v>
      </c>
      <c r="G199" s="6" t="n">
        <v>10</v>
      </c>
      <c r="H199" s="6" t="n">
        <v>94.3</v>
      </c>
      <c r="I199" s="6" t="str">
        <f aca="false">IF(E199&gt;=G199,"ALERT","normal")</f>
        <v>normal</v>
      </c>
    </row>
    <row r="200" customFormat="false" ht="15" hidden="false" customHeight="false" outlineLevel="0" collapsed="false">
      <c r="A200" s="6" t="s">
        <v>237</v>
      </c>
      <c r="B200" s="6" t="s">
        <v>290</v>
      </c>
      <c r="C200" s="6" t="s">
        <v>291</v>
      </c>
      <c r="D200" s="6" t="s">
        <v>292</v>
      </c>
      <c r="E200" s="6" t="n">
        <v>2.27</v>
      </c>
      <c r="F200" s="6" t="s">
        <v>293</v>
      </c>
      <c r="G200" s="6" t="n">
        <v>10</v>
      </c>
      <c r="H200" s="6" t="n">
        <v>94.3</v>
      </c>
      <c r="I200" s="6" t="str">
        <f aca="false">IF(E200&gt;=G200,"ALERT","normal")</f>
        <v>normal</v>
      </c>
    </row>
    <row r="201" customFormat="false" ht="15" hidden="false" customHeight="false" outlineLevel="0" collapsed="false">
      <c r="A201" s="6" t="s">
        <v>238</v>
      </c>
      <c r="B201" s="6" t="s">
        <v>290</v>
      </c>
      <c r="C201" s="6" t="s">
        <v>291</v>
      </c>
      <c r="D201" s="6" t="s">
        <v>292</v>
      </c>
      <c r="E201" s="6" t="n">
        <v>1.6</v>
      </c>
      <c r="F201" s="6" t="s">
        <v>293</v>
      </c>
      <c r="G201" s="6" t="n">
        <v>10</v>
      </c>
      <c r="H201" s="6" t="n">
        <v>94</v>
      </c>
      <c r="I201" s="6" t="str">
        <f aca="false">IF(E201&gt;=G201,"ALERT","normal")</f>
        <v>normal</v>
      </c>
    </row>
    <row r="202" customFormat="false" ht="15" hidden="false" customHeight="false" outlineLevel="0" collapsed="false">
      <c r="A202" s="6" t="s">
        <v>239</v>
      </c>
      <c r="B202" s="6" t="s">
        <v>290</v>
      </c>
      <c r="C202" s="6" t="s">
        <v>291</v>
      </c>
      <c r="D202" s="6" t="s">
        <v>292</v>
      </c>
      <c r="E202" s="6" t="n">
        <v>2.29</v>
      </c>
      <c r="F202" s="6" t="s">
        <v>293</v>
      </c>
      <c r="G202" s="6" t="n">
        <v>10</v>
      </c>
      <c r="H202" s="6" t="n">
        <v>94.3</v>
      </c>
      <c r="I202" s="6" t="str">
        <f aca="false">IF(E202&gt;=G202,"ALERT","normal")</f>
        <v>normal</v>
      </c>
    </row>
    <row r="203" customFormat="false" ht="15" hidden="false" customHeight="false" outlineLevel="0" collapsed="false">
      <c r="A203" s="6" t="s">
        <v>240</v>
      </c>
      <c r="B203" s="6" t="s">
        <v>290</v>
      </c>
      <c r="C203" s="6" t="s">
        <v>291</v>
      </c>
      <c r="D203" s="6" t="s">
        <v>292</v>
      </c>
      <c r="E203" s="6" t="n">
        <v>2.54</v>
      </c>
      <c r="F203" s="6" t="s">
        <v>293</v>
      </c>
      <c r="G203" s="6" t="n">
        <v>10</v>
      </c>
      <c r="H203" s="6" t="n">
        <v>95.2</v>
      </c>
      <c r="I203" s="6" t="str">
        <f aca="false">IF(E203&gt;=G203,"ALERT","normal")</f>
        <v>normal</v>
      </c>
    </row>
    <row r="204" customFormat="false" ht="15" hidden="false" customHeight="false" outlineLevel="0" collapsed="false">
      <c r="A204" s="6" t="s">
        <v>241</v>
      </c>
      <c r="B204" s="6" t="s">
        <v>290</v>
      </c>
      <c r="C204" s="6" t="s">
        <v>291</v>
      </c>
      <c r="D204" s="6" t="s">
        <v>292</v>
      </c>
      <c r="E204" s="6" t="n">
        <v>2.13</v>
      </c>
      <c r="F204" s="6" t="s">
        <v>293</v>
      </c>
      <c r="G204" s="6" t="n">
        <v>10</v>
      </c>
      <c r="H204" s="6" t="n">
        <v>93.6</v>
      </c>
      <c r="I204" s="6" t="str">
        <f aca="false">IF(E204&gt;=G204,"ALERT","normal")</f>
        <v>normal</v>
      </c>
    </row>
    <row r="205" customFormat="false" ht="15" hidden="false" customHeight="false" outlineLevel="0" collapsed="false">
      <c r="A205" s="6" t="s">
        <v>242</v>
      </c>
      <c r="B205" s="6" t="s">
        <v>290</v>
      </c>
      <c r="C205" s="6" t="s">
        <v>291</v>
      </c>
      <c r="D205" s="6" t="s">
        <v>292</v>
      </c>
      <c r="E205" s="6" t="n">
        <v>2.51</v>
      </c>
      <c r="F205" s="6" t="s">
        <v>293</v>
      </c>
      <c r="G205" s="6" t="n">
        <v>10</v>
      </c>
      <c r="H205" s="6" t="n">
        <v>93.5</v>
      </c>
      <c r="I205" s="6" t="str">
        <f aca="false">IF(E205&gt;=G205,"ALERT","normal")</f>
        <v>normal</v>
      </c>
    </row>
    <row r="206" customFormat="false" ht="15" hidden="false" customHeight="false" outlineLevel="0" collapsed="false">
      <c r="A206" s="6" t="s">
        <v>243</v>
      </c>
      <c r="B206" s="6" t="s">
        <v>290</v>
      </c>
      <c r="C206" s="6" t="s">
        <v>291</v>
      </c>
      <c r="D206" s="6" t="s">
        <v>292</v>
      </c>
      <c r="E206" s="6" t="n">
        <v>2.03</v>
      </c>
      <c r="F206" s="6" t="s">
        <v>293</v>
      </c>
      <c r="G206" s="6" t="n">
        <v>10</v>
      </c>
      <c r="H206" s="6" t="n">
        <v>93.4</v>
      </c>
      <c r="I206" s="6" t="str">
        <f aca="false">IF(E206&gt;=G206,"ALERT","normal")</f>
        <v>normal</v>
      </c>
    </row>
    <row r="207" customFormat="false" ht="15" hidden="false" customHeight="false" outlineLevel="0" collapsed="false">
      <c r="A207" s="6" t="s">
        <v>244</v>
      </c>
      <c r="B207" s="6" t="s">
        <v>290</v>
      </c>
      <c r="C207" s="6" t="s">
        <v>291</v>
      </c>
      <c r="D207" s="6" t="s">
        <v>292</v>
      </c>
      <c r="E207" s="6" t="n">
        <v>1.81</v>
      </c>
      <c r="F207" s="6" t="s">
        <v>293</v>
      </c>
      <c r="G207" s="6" t="n">
        <v>10</v>
      </c>
      <c r="H207" s="6" t="n">
        <v>94.8</v>
      </c>
      <c r="I207" s="6" t="str">
        <f aca="false">IF(E207&gt;=G207,"ALERT","normal")</f>
        <v>normal</v>
      </c>
    </row>
    <row r="208" customFormat="false" ht="15" hidden="false" customHeight="false" outlineLevel="0" collapsed="false">
      <c r="A208" s="6" t="s">
        <v>245</v>
      </c>
      <c r="B208" s="6" t="s">
        <v>290</v>
      </c>
      <c r="C208" s="6" t="s">
        <v>291</v>
      </c>
      <c r="D208" s="6" t="s">
        <v>292</v>
      </c>
      <c r="E208" s="6" t="n">
        <v>2.31</v>
      </c>
      <c r="F208" s="6" t="s">
        <v>293</v>
      </c>
      <c r="G208" s="6" t="n">
        <v>10</v>
      </c>
      <c r="H208" s="6" t="n">
        <v>93.6</v>
      </c>
      <c r="I208" s="6" t="str">
        <f aca="false">IF(E208&gt;=G208,"ALERT","normal")</f>
        <v>normal</v>
      </c>
    </row>
    <row r="209" customFormat="false" ht="15" hidden="false" customHeight="false" outlineLevel="0" collapsed="false">
      <c r="A209" s="6" t="s">
        <v>246</v>
      </c>
      <c r="B209" s="6" t="s">
        <v>290</v>
      </c>
      <c r="C209" s="6" t="s">
        <v>291</v>
      </c>
      <c r="D209" s="6" t="s">
        <v>292</v>
      </c>
      <c r="E209" s="6" t="n">
        <v>1.76</v>
      </c>
      <c r="F209" s="6" t="s">
        <v>293</v>
      </c>
      <c r="G209" s="6" t="n">
        <v>10</v>
      </c>
      <c r="H209" s="6" t="n">
        <v>93.8</v>
      </c>
      <c r="I209" s="6" t="str">
        <f aca="false">IF(E209&gt;=G209,"ALERT","normal")</f>
        <v>normal</v>
      </c>
    </row>
    <row r="210" customFormat="false" ht="15" hidden="false" customHeight="false" outlineLevel="0" collapsed="false">
      <c r="A210" s="6" t="s">
        <v>247</v>
      </c>
      <c r="B210" s="6" t="s">
        <v>290</v>
      </c>
      <c r="C210" s="6" t="s">
        <v>291</v>
      </c>
      <c r="D210" s="6" t="s">
        <v>292</v>
      </c>
      <c r="E210" s="6" t="n">
        <v>2.24</v>
      </c>
      <c r="F210" s="6" t="s">
        <v>293</v>
      </c>
      <c r="G210" s="6" t="n">
        <v>10</v>
      </c>
      <c r="H210" s="6" t="n">
        <v>93.5</v>
      </c>
      <c r="I210" s="6" t="str">
        <f aca="false">IF(E210&gt;=G210,"ALERT","normal")</f>
        <v>normal</v>
      </c>
    </row>
    <row r="211" customFormat="false" ht="15" hidden="false" customHeight="false" outlineLevel="0" collapsed="false">
      <c r="A211" s="6" t="s">
        <v>248</v>
      </c>
      <c r="B211" s="6" t="s">
        <v>290</v>
      </c>
      <c r="C211" s="6" t="s">
        <v>291</v>
      </c>
      <c r="D211" s="6" t="s">
        <v>292</v>
      </c>
      <c r="E211" s="6" t="n">
        <v>2.72</v>
      </c>
      <c r="F211" s="6" t="s">
        <v>293</v>
      </c>
      <c r="G211" s="6" t="n">
        <v>10</v>
      </c>
      <c r="H211" s="6" t="n">
        <v>93.2</v>
      </c>
      <c r="I211" s="6" t="str">
        <f aca="false">IF(E211&gt;=G211,"ALERT","normal")</f>
        <v>normal</v>
      </c>
    </row>
    <row r="212" customFormat="false" ht="15" hidden="false" customHeight="false" outlineLevel="0" collapsed="false">
      <c r="A212" s="6" t="s">
        <v>249</v>
      </c>
      <c r="B212" s="6" t="s">
        <v>290</v>
      </c>
      <c r="C212" s="6" t="s">
        <v>291</v>
      </c>
      <c r="D212" s="6" t="s">
        <v>292</v>
      </c>
      <c r="E212" s="6" t="n">
        <v>1.78</v>
      </c>
      <c r="F212" s="6" t="s">
        <v>293</v>
      </c>
      <c r="G212" s="6" t="n">
        <v>10</v>
      </c>
      <c r="H212" s="6" t="n">
        <v>93.4</v>
      </c>
      <c r="I212" s="6" t="str">
        <f aca="false">IF(E212&gt;=G212,"ALERT","normal")</f>
        <v>normal</v>
      </c>
    </row>
    <row r="213" customFormat="false" ht="15" hidden="false" customHeight="false" outlineLevel="0" collapsed="false">
      <c r="A213" s="6" t="s">
        <v>250</v>
      </c>
      <c r="B213" s="6" t="s">
        <v>290</v>
      </c>
      <c r="C213" s="6" t="s">
        <v>291</v>
      </c>
      <c r="D213" s="6" t="s">
        <v>292</v>
      </c>
      <c r="E213" s="6" t="n">
        <v>1.98</v>
      </c>
      <c r="F213" s="6" t="s">
        <v>293</v>
      </c>
      <c r="G213" s="6" t="n">
        <v>10</v>
      </c>
      <c r="H213" s="6" t="n">
        <v>94.7</v>
      </c>
      <c r="I213" s="6" t="str">
        <f aca="false">IF(E213&gt;=G213,"ALERT","normal")</f>
        <v>normal</v>
      </c>
    </row>
    <row r="214" customFormat="false" ht="15" hidden="false" customHeight="false" outlineLevel="0" collapsed="false">
      <c r="A214" s="6" t="s">
        <v>251</v>
      </c>
      <c r="B214" s="6" t="s">
        <v>290</v>
      </c>
      <c r="C214" s="6" t="s">
        <v>291</v>
      </c>
      <c r="D214" s="6" t="s">
        <v>292</v>
      </c>
      <c r="E214" s="6" t="n">
        <v>2.08</v>
      </c>
      <c r="F214" s="6" t="s">
        <v>293</v>
      </c>
      <c r="G214" s="6" t="n">
        <v>10</v>
      </c>
      <c r="H214" s="6" t="n">
        <v>94.1</v>
      </c>
      <c r="I214" s="6" t="str">
        <f aca="false">IF(E214&gt;=G214,"ALERT","normal")</f>
        <v>normal</v>
      </c>
    </row>
    <row r="215" customFormat="false" ht="15" hidden="false" customHeight="false" outlineLevel="0" collapsed="false">
      <c r="A215" s="6" t="s">
        <v>252</v>
      </c>
      <c r="B215" s="6" t="s">
        <v>290</v>
      </c>
      <c r="C215" s="6" t="s">
        <v>291</v>
      </c>
      <c r="D215" s="6" t="s">
        <v>292</v>
      </c>
      <c r="E215" s="6" t="n">
        <v>2.39</v>
      </c>
      <c r="F215" s="6" t="s">
        <v>293</v>
      </c>
      <c r="G215" s="6" t="n">
        <v>10</v>
      </c>
      <c r="H215" s="6" t="n">
        <v>92.9</v>
      </c>
      <c r="I215" s="6" t="str">
        <f aca="false">IF(E215&gt;=G215,"ALERT","normal")</f>
        <v>normal</v>
      </c>
    </row>
    <row r="216" customFormat="false" ht="15" hidden="false" customHeight="false" outlineLevel="0" collapsed="false">
      <c r="A216" s="6" t="s">
        <v>253</v>
      </c>
      <c r="B216" s="6" t="s">
        <v>290</v>
      </c>
      <c r="C216" s="6" t="s">
        <v>291</v>
      </c>
      <c r="D216" s="6" t="s">
        <v>292</v>
      </c>
      <c r="E216" s="6" t="n">
        <v>2.32</v>
      </c>
      <c r="F216" s="6" t="s">
        <v>293</v>
      </c>
      <c r="G216" s="6" t="n">
        <v>10</v>
      </c>
      <c r="H216" s="6" t="n">
        <v>93.6</v>
      </c>
      <c r="I216" s="6" t="str">
        <f aca="false">IF(E216&gt;=G216,"ALERT","normal")</f>
        <v>normal</v>
      </c>
    </row>
    <row r="217" customFormat="false" ht="15" hidden="false" customHeight="false" outlineLevel="0" collapsed="false">
      <c r="A217" s="6" t="s">
        <v>254</v>
      </c>
      <c r="B217" s="6" t="s">
        <v>290</v>
      </c>
      <c r="C217" s="6" t="s">
        <v>291</v>
      </c>
      <c r="D217" s="6" t="s">
        <v>292</v>
      </c>
      <c r="E217" s="6" t="n">
        <v>2.87</v>
      </c>
      <c r="F217" s="6" t="s">
        <v>293</v>
      </c>
      <c r="G217" s="6" t="n">
        <v>10</v>
      </c>
      <c r="H217" s="6" t="n">
        <v>92.7</v>
      </c>
      <c r="I217" s="6" t="str">
        <f aca="false">IF(E217&gt;=G217,"ALERT","normal")</f>
        <v>normal</v>
      </c>
    </row>
    <row r="218" customFormat="false" ht="15" hidden="false" customHeight="false" outlineLevel="0" collapsed="false">
      <c r="A218" s="6" t="s">
        <v>255</v>
      </c>
      <c r="B218" s="6" t="s">
        <v>290</v>
      </c>
      <c r="C218" s="6" t="s">
        <v>291</v>
      </c>
      <c r="D218" s="6" t="s">
        <v>292</v>
      </c>
      <c r="E218" s="6" t="n">
        <v>2.75</v>
      </c>
      <c r="F218" s="6" t="s">
        <v>293</v>
      </c>
      <c r="G218" s="6" t="n">
        <v>10</v>
      </c>
      <c r="H218" s="6" t="n">
        <v>92.2</v>
      </c>
      <c r="I218" s="6" t="str">
        <f aca="false">IF(E218&gt;=G218,"ALERT","normal")</f>
        <v>normal</v>
      </c>
    </row>
    <row r="219" customFormat="false" ht="15" hidden="false" customHeight="false" outlineLevel="0" collapsed="false">
      <c r="A219" s="6" t="s">
        <v>256</v>
      </c>
      <c r="B219" s="6" t="s">
        <v>290</v>
      </c>
      <c r="C219" s="6" t="s">
        <v>291</v>
      </c>
      <c r="D219" s="6" t="s">
        <v>292</v>
      </c>
      <c r="E219" s="6" t="n">
        <v>2.63</v>
      </c>
      <c r="F219" s="6" t="s">
        <v>293</v>
      </c>
      <c r="G219" s="6" t="n">
        <v>10</v>
      </c>
      <c r="H219" s="6" t="n">
        <v>93.5</v>
      </c>
      <c r="I219" s="6" t="str">
        <f aca="false">IF(E219&gt;=G219,"ALERT","normal")</f>
        <v>normal</v>
      </c>
    </row>
    <row r="220" customFormat="false" ht="15" hidden="false" customHeight="false" outlineLevel="0" collapsed="false">
      <c r="A220" s="6" t="s">
        <v>257</v>
      </c>
      <c r="B220" s="6" t="s">
        <v>290</v>
      </c>
      <c r="C220" s="6" t="s">
        <v>291</v>
      </c>
      <c r="D220" s="6" t="s">
        <v>292</v>
      </c>
      <c r="E220" s="6" t="n">
        <v>2.55</v>
      </c>
      <c r="F220" s="6" t="s">
        <v>293</v>
      </c>
      <c r="G220" s="6" t="n">
        <v>10</v>
      </c>
      <c r="H220" s="6" t="n">
        <v>93.5</v>
      </c>
      <c r="I220" s="6" t="str">
        <f aca="false">IF(E220&gt;=G220,"ALERT","normal")</f>
        <v>normal</v>
      </c>
    </row>
    <row r="221" customFormat="false" ht="15" hidden="false" customHeight="false" outlineLevel="0" collapsed="false">
      <c r="A221" s="6" t="s">
        <v>258</v>
      </c>
      <c r="B221" s="6" t="s">
        <v>290</v>
      </c>
      <c r="C221" s="6" t="s">
        <v>291</v>
      </c>
      <c r="D221" s="6" t="s">
        <v>292</v>
      </c>
      <c r="E221" s="6" t="n">
        <v>2.64</v>
      </c>
      <c r="F221" s="6" t="s">
        <v>293</v>
      </c>
      <c r="G221" s="6" t="n">
        <v>10</v>
      </c>
      <c r="H221" s="6" t="n">
        <v>93.4</v>
      </c>
      <c r="I221" s="6" t="str">
        <f aca="false">IF(E221&gt;=G221,"ALERT","normal")</f>
        <v>normal</v>
      </c>
    </row>
    <row r="222" customFormat="false" ht="15" hidden="false" customHeight="false" outlineLevel="0" collapsed="false">
      <c r="A222" s="6" t="s">
        <v>259</v>
      </c>
      <c r="B222" s="6" t="s">
        <v>290</v>
      </c>
      <c r="C222" s="6" t="s">
        <v>291</v>
      </c>
      <c r="D222" s="6" t="s">
        <v>292</v>
      </c>
      <c r="E222" s="6" t="n">
        <v>2.28</v>
      </c>
      <c r="F222" s="6" t="s">
        <v>293</v>
      </c>
      <c r="G222" s="6" t="n">
        <v>10</v>
      </c>
      <c r="H222" s="6" t="n">
        <v>92.5</v>
      </c>
      <c r="I222" s="6" t="str">
        <f aca="false">IF(E222&gt;=G222,"ALERT","normal")</f>
        <v>normal</v>
      </c>
    </row>
    <row r="223" customFormat="false" ht="15" hidden="false" customHeight="false" outlineLevel="0" collapsed="false">
      <c r="A223" s="6" t="s">
        <v>260</v>
      </c>
      <c r="B223" s="6" t="s">
        <v>290</v>
      </c>
      <c r="C223" s="6" t="s">
        <v>291</v>
      </c>
      <c r="D223" s="6" t="s">
        <v>292</v>
      </c>
      <c r="E223" s="6" t="n">
        <v>2.82</v>
      </c>
      <c r="F223" s="6" t="s">
        <v>293</v>
      </c>
      <c r="G223" s="6" t="n">
        <v>10</v>
      </c>
      <c r="H223" s="6" t="n">
        <v>92.6</v>
      </c>
      <c r="I223" s="6" t="str">
        <f aca="false">IF(E223&gt;=G223,"ALERT","normal")</f>
        <v>normal</v>
      </c>
    </row>
    <row r="224" customFormat="false" ht="15" hidden="false" customHeight="false" outlineLevel="0" collapsed="false">
      <c r="A224" s="6" t="s">
        <v>261</v>
      </c>
      <c r="B224" s="6" t="s">
        <v>290</v>
      </c>
      <c r="C224" s="6" t="s">
        <v>291</v>
      </c>
      <c r="D224" s="6" t="s">
        <v>292</v>
      </c>
      <c r="E224" s="6" t="n">
        <v>2.25</v>
      </c>
      <c r="F224" s="6" t="s">
        <v>293</v>
      </c>
      <c r="G224" s="6" t="n">
        <v>10</v>
      </c>
      <c r="H224" s="6" t="n">
        <v>93</v>
      </c>
      <c r="I224" s="6" t="str">
        <f aca="false">IF(E224&gt;=G224,"ALERT","normal")</f>
        <v>normal</v>
      </c>
    </row>
    <row r="225" customFormat="false" ht="15" hidden="false" customHeight="false" outlineLevel="0" collapsed="false">
      <c r="A225" s="6" t="s">
        <v>262</v>
      </c>
      <c r="B225" s="6" t="s">
        <v>290</v>
      </c>
      <c r="C225" s="6" t="s">
        <v>291</v>
      </c>
      <c r="D225" s="6" t="s">
        <v>292</v>
      </c>
      <c r="E225" s="6" t="n">
        <v>2.85</v>
      </c>
      <c r="F225" s="6" t="s">
        <v>293</v>
      </c>
      <c r="G225" s="6" t="n">
        <v>10</v>
      </c>
      <c r="H225" s="6" t="n">
        <v>92.7</v>
      </c>
      <c r="I225" s="6" t="str">
        <f aca="false">IF(E225&gt;=G225,"ALERT","normal")</f>
        <v>normal</v>
      </c>
    </row>
    <row r="226" customFormat="false" ht="15" hidden="false" customHeight="false" outlineLevel="0" collapsed="false">
      <c r="A226" s="6" t="s">
        <v>263</v>
      </c>
      <c r="B226" s="6" t="s">
        <v>290</v>
      </c>
      <c r="C226" s="6" t="s">
        <v>291</v>
      </c>
      <c r="D226" s="6" t="s">
        <v>292</v>
      </c>
      <c r="E226" s="6" t="n">
        <v>2.98</v>
      </c>
      <c r="F226" s="6" t="s">
        <v>293</v>
      </c>
      <c r="G226" s="6" t="n">
        <v>10</v>
      </c>
      <c r="H226" s="6" t="n">
        <v>92.2</v>
      </c>
      <c r="I226" s="6" t="str">
        <f aca="false">IF(E226&gt;=G226,"ALERT","normal")</f>
        <v>normal</v>
      </c>
    </row>
    <row r="227" customFormat="false" ht="15" hidden="false" customHeight="false" outlineLevel="0" collapsed="false">
      <c r="A227" s="6" t="s">
        <v>264</v>
      </c>
      <c r="B227" s="6" t="s">
        <v>290</v>
      </c>
      <c r="C227" s="6" t="s">
        <v>291</v>
      </c>
      <c r="D227" s="6" t="s">
        <v>292</v>
      </c>
      <c r="E227" s="6" t="n">
        <v>2.7</v>
      </c>
      <c r="F227" s="6" t="s">
        <v>293</v>
      </c>
      <c r="G227" s="6" t="n">
        <v>10</v>
      </c>
      <c r="H227" s="6" t="n">
        <v>91.6</v>
      </c>
      <c r="I227" s="6" t="str">
        <f aca="false">IF(E227&gt;=G227,"ALERT","normal")</f>
        <v>normal</v>
      </c>
    </row>
    <row r="228" customFormat="false" ht="15" hidden="false" customHeight="false" outlineLevel="0" collapsed="false">
      <c r="A228" s="6" t="s">
        <v>265</v>
      </c>
      <c r="B228" s="6" t="s">
        <v>290</v>
      </c>
      <c r="C228" s="6" t="s">
        <v>291</v>
      </c>
      <c r="D228" s="6" t="s">
        <v>292</v>
      </c>
      <c r="E228" s="6" t="n">
        <v>2.61</v>
      </c>
      <c r="F228" s="6" t="s">
        <v>293</v>
      </c>
      <c r="G228" s="6" t="n">
        <v>10</v>
      </c>
      <c r="H228" s="6" t="n">
        <v>92.3</v>
      </c>
      <c r="I228" s="6" t="str">
        <f aca="false">IF(E228&gt;=G228,"ALERT","normal")</f>
        <v>normal</v>
      </c>
    </row>
    <row r="229" customFormat="false" ht="15" hidden="false" customHeight="false" outlineLevel="0" collapsed="false">
      <c r="A229" s="6" t="s">
        <v>266</v>
      </c>
      <c r="B229" s="6" t="s">
        <v>290</v>
      </c>
      <c r="C229" s="6" t="s">
        <v>291</v>
      </c>
      <c r="D229" s="6" t="s">
        <v>292</v>
      </c>
      <c r="E229" s="6" t="n">
        <v>2.8</v>
      </c>
      <c r="F229" s="6" t="s">
        <v>293</v>
      </c>
      <c r="G229" s="6" t="n">
        <v>10</v>
      </c>
      <c r="H229" s="6" t="n">
        <v>92.7</v>
      </c>
      <c r="I229" s="6" t="str">
        <f aca="false">IF(E229&gt;=G229,"ALERT","normal")</f>
        <v>normal</v>
      </c>
    </row>
    <row r="230" customFormat="false" ht="15" hidden="false" customHeight="false" outlineLevel="0" collapsed="false">
      <c r="A230" s="6" t="s">
        <v>267</v>
      </c>
      <c r="B230" s="6" t="s">
        <v>290</v>
      </c>
      <c r="C230" s="6" t="s">
        <v>291</v>
      </c>
      <c r="D230" s="6" t="s">
        <v>292</v>
      </c>
      <c r="E230" s="6" t="n">
        <v>1.84</v>
      </c>
      <c r="F230" s="6" t="s">
        <v>293</v>
      </c>
      <c r="G230" s="6" t="n">
        <v>10</v>
      </c>
      <c r="H230" s="6" t="n">
        <v>91.5</v>
      </c>
      <c r="I230" s="6" t="str">
        <f aca="false">IF(E230&gt;=G230,"ALERT","normal")</f>
        <v>normal</v>
      </c>
    </row>
    <row r="231" customFormat="false" ht="15" hidden="false" customHeight="false" outlineLevel="0" collapsed="false">
      <c r="A231" s="6" t="s">
        <v>268</v>
      </c>
      <c r="B231" s="6" t="s">
        <v>290</v>
      </c>
      <c r="C231" s="6" t="s">
        <v>291</v>
      </c>
      <c r="D231" s="6" t="s">
        <v>292</v>
      </c>
      <c r="E231" s="6" t="n">
        <v>2.81</v>
      </c>
      <c r="F231" s="6" t="s">
        <v>293</v>
      </c>
      <c r="G231" s="6" t="n">
        <v>10</v>
      </c>
      <c r="H231" s="6" t="n">
        <v>92.4</v>
      </c>
      <c r="I231" s="6" t="str">
        <f aca="false">IF(E231&gt;=G231,"ALERT","normal")</f>
        <v>normal</v>
      </c>
    </row>
    <row r="232" customFormat="false" ht="15" hidden="false" customHeight="false" outlineLevel="0" collapsed="false">
      <c r="A232" s="6" t="s">
        <v>269</v>
      </c>
      <c r="B232" s="6" t="s">
        <v>290</v>
      </c>
      <c r="C232" s="6" t="s">
        <v>291</v>
      </c>
      <c r="D232" s="6" t="s">
        <v>292</v>
      </c>
      <c r="E232" s="6" t="n">
        <v>2.7</v>
      </c>
      <c r="F232" s="6" t="s">
        <v>293</v>
      </c>
      <c r="G232" s="6" t="n">
        <v>10</v>
      </c>
      <c r="H232" s="6" t="n">
        <v>92.1</v>
      </c>
      <c r="I232" s="6" t="str">
        <f aca="false">IF(E232&gt;=G232,"ALERT","normal")</f>
        <v>normal</v>
      </c>
    </row>
    <row r="233" customFormat="false" ht="15" hidden="false" customHeight="false" outlineLevel="0" collapsed="false">
      <c r="A233" s="6" t="s">
        <v>270</v>
      </c>
      <c r="B233" s="6" t="s">
        <v>290</v>
      </c>
      <c r="C233" s="6" t="s">
        <v>291</v>
      </c>
      <c r="D233" s="6" t="s">
        <v>292</v>
      </c>
      <c r="E233" s="6" t="n">
        <v>2.74</v>
      </c>
      <c r="F233" s="6" t="s">
        <v>293</v>
      </c>
      <c r="G233" s="6" t="n">
        <v>10</v>
      </c>
      <c r="H233" s="6" t="n">
        <v>92.3</v>
      </c>
      <c r="I233" s="6" t="str">
        <f aca="false">IF(E233&gt;=G233,"ALERT","normal")</f>
        <v>normal</v>
      </c>
    </row>
    <row r="234" customFormat="false" ht="15" hidden="false" customHeight="false" outlineLevel="0" collapsed="false">
      <c r="A234" s="6" t="s">
        <v>271</v>
      </c>
      <c r="B234" s="6" t="s">
        <v>290</v>
      </c>
      <c r="C234" s="6" t="s">
        <v>291</v>
      </c>
      <c r="D234" s="6" t="s">
        <v>292</v>
      </c>
      <c r="E234" s="6" t="n">
        <v>2.99</v>
      </c>
      <c r="F234" s="6" t="s">
        <v>293</v>
      </c>
      <c r="G234" s="6" t="n">
        <v>10</v>
      </c>
      <c r="H234" s="6" t="n">
        <v>92.2</v>
      </c>
      <c r="I234" s="6" t="str">
        <f aca="false">IF(E234&gt;=G234,"ALERT","normal")</f>
        <v>normal</v>
      </c>
    </row>
    <row r="235" customFormat="false" ht="15" hidden="false" customHeight="false" outlineLevel="0" collapsed="false">
      <c r="A235" s="6" t="s">
        <v>272</v>
      </c>
      <c r="B235" s="6" t="s">
        <v>290</v>
      </c>
      <c r="C235" s="6" t="s">
        <v>291</v>
      </c>
      <c r="D235" s="6" t="s">
        <v>292</v>
      </c>
      <c r="E235" s="6" t="n">
        <v>2.77</v>
      </c>
      <c r="F235" s="6" t="s">
        <v>293</v>
      </c>
      <c r="G235" s="6" t="n">
        <v>10</v>
      </c>
      <c r="H235" s="6" t="n">
        <v>91.4</v>
      </c>
      <c r="I235" s="6" t="str">
        <f aca="false">IF(E235&gt;=G235,"ALERT","normal")</f>
        <v>normal</v>
      </c>
    </row>
    <row r="236" customFormat="false" ht="15" hidden="false" customHeight="false" outlineLevel="0" collapsed="false">
      <c r="A236" s="6" t="s">
        <v>273</v>
      </c>
      <c r="B236" s="6" t="s">
        <v>290</v>
      </c>
      <c r="C236" s="6" t="s">
        <v>291</v>
      </c>
      <c r="D236" s="6" t="s">
        <v>292</v>
      </c>
      <c r="E236" s="6" t="n">
        <v>2.47</v>
      </c>
      <c r="F236" s="6" t="s">
        <v>293</v>
      </c>
      <c r="G236" s="6" t="n">
        <v>10</v>
      </c>
      <c r="H236" s="6" t="n">
        <v>90.8</v>
      </c>
      <c r="I236" s="6" t="str">
        <f aca="false">IF(E236&gt;=G236,"ALERT","normal")</f>
        <v>normal</v>
      </c>
    </row>
    <row r="237" customFormat="false" ht="15" hidden="false" customHeight="false" outlineLevel="0" collapsed="false">
      <c r="A237" s="6" t="s">
        <v>274</v>
      </c>
      <c r="B237" s="6" t="s">
        <v>290</v>
      </c>
      <c r="C237" s="6" t="s">
        <v>291</v>
      </c>
      <c r="D237" s="6" t="s">
        <v>292</v>
      </c>
      <c r="E237" s="6" t="n">
        <v>2.79</v>
      </c>
      <c r="F237" s="6" t="s">
        <v>293</v>
      </c>
      <c r="G237" s="6" t="n">
        <v>10</v>
      </c>
      <c r="H237" s="6" t="n">
        <v>91.3</v>
      </c>
      <c r="I237" s="6" t="str">
        <f aca="false">IF(E237&gt;=G237,"ALERT","normal")</f>
        <v>normal</v>
      </c>
    </row>
    <row r="238" customFormat="false" ht="15" hidden="false" customHeight="false" outlineLevel="0" collapsed="false">
      <c r="A238" s="6" t="s">
        <v>275</v>
      </c>
      <c r="B238" s="6" t="s">
        <v>290</v>
      </c>
      <c r="C238" s="6" t="s">
        <v>291</v>
      </c>
      <c r="D238" s="6" t="s">
        <v>292</v>
      </c>
      <c r="E238" s="6" t="n">
        <v>2.87</v>
      </c>
      <c r="F238" s="6" t="s">
        <v>293</v>
      </c>
      <c r="G238" s="6" t="n">
        <v>10</v>
      </c>
      <c r="H238" s="6" t="n">
        <v>91.9</v>
      </c>
      <c r="I238" s="6" t="str">
        <f aca="false">IF(E238&gt;=G238,"ALERT","normal")</f>
        <v>normal</v>
      </c>
    </row>
    <row r="239" customFormat="false" ht="15" hidden="false" customHeight="false" outlineLevel="0" collapsed="false">
      <c r="A239" s="6" t="s">
        <v>276</v>
      </c>
      <c r="B239" s="6" t="s">
        <v>290</v>
      </c>
      <c r="C239" s="6" t="s">
        <v>291</v>
      </c>
      <c r="D239" s="6" t="s">
        <v>292</v>
      </c>
      <c r="E239" s="6" t="n">
        <v>2.91</v>
      </c>
      <c r="F239" s="6" t="s">
        <v>293</v>
      </c>
      <c r="G239" s="6" t="n">
        <v>10</v>
      </c>
      <c r="H239" s="6" t="n">
        <v>91.1</v>
      </c>
      <c r="I239" s="6" t="str">
        <f aca="false">IF(E239&gt;=G239,"ALERT","normal")</f>
        <v>normal</v>
      </c>
    </row>
    <row r="240" customFormat="false" ht="15" hidden="false" customHeight="false" outlineLevel="0" collapsed="false">
      <c r="A240" s="6" t="s">
        <v>277</v>
      </c>
      <c r="B240" s="6" t="s">
        <v>290</v>
      </c>
      <c r="C240" s="6" t="s">
        <v>291</v>
      </c>
      <c r="D240" s="6" t="s">
        <v>292</v>
      </c>
      <c r="E240" s="6" t="n">
        <v>2.94</v>
      </c>
      <c r="F240" s="6" t="s">
        <v>293</v>
      </c>
      <c r="G240" s="6" t="n">
        <v>10</v>
      </c>
      <c r="H240" s="6" t="n">
        <v>91</v>
      </c>
      <c r="I240" s="6" t="str">
        <f aca="false">IF(E240&gt;=G240,"ALERT","normal")</f>
        <v>normal</v>
      </c>
    </row>
    <row r="241" customFormat="false" ht="15" hidden="false" customHeight="false" outlineLevel="0" collapsed="false">
      <c r="A241" s="6" t="s">
        <v>278</v>
      </c>
      <c r="B241" s="6" t="s">
        <v>290</v>
      </c>
      <c r="C241" s="6" t="s">
        <v>291</v>
      </c>
      <c r="D241" s="6" t="s">
        <v>292</v>
      </c>
      <c r="E241" s="6" t="n">
        <v>3.22</v>
      </c>
      <c r="F241" s="6" t="s">
        <v>293</v>
      </c>
      <c r="G241" s="6" t="n">
        <v>10</v>
      </c>
      <c r="H241" s="6" t="n">
        <v>90.3</v>
      </c>
      <c r="I241" s="6" t="str">
        <f aca="false">IF(E241&gt;=G241,"ALERT","normal")</f>
        <v>normal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0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2"/>
  </cols>
  <sheetData>
    <row r="1" customFormat="false" ht="27.75" hidden="false" customHeight="true" outlineLevel="0" collapsed="false">
      <c r="A1" s="5" t="s">
        <v>15</v>
      </c>
      <c r="B1" s="5" t="s">
        <v>16</v>
      </c>
      <c r="C1" s="5" t="s">
        <v>294</v>
      </c>
      <c r="D1" s="5" t="s">
        <v>295</v>
      </c>
      <c r="E1" s="5" t="s">
        <v>296</v>
      </c>
      <c r="F1" s="5" t="s">
        <v>297</v>
      </c>
      <c r="G1" s="5" t="s">
        <v>298</v>
      </c>
    </row>
    <row r="2" customFormat="false" ht="15" hidden="false" customHeight="false" outlineLevel="0" collapsed="false">
      <c r="A2" s="6" t="s">
        <v>21</v>
      </c>
      <c r="B2" s="6" t="s">
        <v>22</v>
      </c>
      <c r="C2" s="6" t="n">
        <v>11.353</v>
      </c>
      <c r="D2" s="6" t="n">
        <v>76.7959</v>
      </c>
      <c r="E2" s="6" t="n">
        <v>1858</v>
      </c>
      <c r="F2" s="6" t="n">
        <v>16</v>
      </c>
      <c r="G2" s="6" t="n">
        <v>1.1</v>
      </c>
    </row>
    <row r="3" customFormat="false" ht="15" hidden="false" customHeight="false" outlineLevel="0" collapsed="false">
      <c r="A3" s="6" t="s">
        <v>115</v>
      </c>
      <c r="B3" s="6" t="s">
        <v>116</v>
      </c>
      <c r="C3" s="6" t="n">
        <v>11.4229</v>
      </c>
      <c r="D3" s="6" t="n">
        <v>76.8641</v>
      </c>
      <c r="E3" s="6" t="n">
        <v>1793</v>
      </c>
      <c r="F3" s="6" t="n">
        <v>14</v>
      </c>
      <c r="G3" s="6" t="n">
        <v>1.1</v>
      </c>
    </row>
    <row r="4" customFormat="false" ht="15" hidden="false" customHeight="false" outlineLevel="0" collapsed="false">
      <c r="A4" s="6" t="s">
        <v>117</v>
      </c>
      <c r="B4" s="6" t="s">
        <v>118</v>
      </c>
      <c r="C4" s="6" t="n">
        <v>11.3667</v>
      </c>
      <c r="D4" s="6" t="n">
        <v>76.8833</v>
      </c>
      <c r="E4" s="6" t="n">
        <v>500</v>
      </c>
      <c r="F4" s="6" t="n">
        <v>27</v>
      </c>
      <c r="G4" s="6" t="n">
        <v>1</v>
      </c>
    </row>
    <row r="5" customFormat="false" ht="15" hidden="false" customHeight="false" outlineLevel="0" collapsed="false">
      <c r="A5" s="6" t="s">
        <v>119</v>
      </c>
      <c r="B5" s="6" t="s">
        <v>120</v>
      </c>
      <c r="C5" s="6" t="n">
        <v>11.4064</v>
      </c>
      <c r="D5" s="6" t="n">
        <v>76.6932</v>
      </c>
      <c r="E5" s="6" t="n">
        <v>2240</v>
      </c>
      <c r="F5" s="6" t="n">
        <v>10</v>
      </c>
      <c r="G5" s="6" t="n">
        <v>1.2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3" min="2" style="0" width="70"/>
  </cols>
  <sheetData>
    <row r="1" customFormat="false" ht="27.75" hidden="false" customHeight="true" outlineLevel="0" collapsed="false">
      <c r="A1" s="5" t="s">
        <v>299</v>
      </c>
      <c r="B1" s="5" t="s">
        <v>300</v>
      </c>
      <c r="C1" s="5" t="s">
        <v>301</v>
      </c>
    </row>
    <row r="2" customFormat="false" ht="15" hidden="false" customHeight="false" outlineLevel="0" collapsed="false">
      <c r="A2" s="6" t="s">
        <v>302</v>
      </c>
      <c r="B2" s="6" t="s">
        <v>303</v>
      </c>
      <c r="C2" s="6" t="s">
        <v>304</v>
      </c>
    </row>
    <row r="3" customFormat="false" ht="15" hidden="false" customHeight="false" outlineLevel="0" collapsed="false">
      <c r="A3" s="6" t="s">
        <v>305</v>
      </c>
      <c r="B3" s="6" t="s">
        <v>306</v>
      </c>
      <c r="C3" s="6" t="s">
        <v>307</v>
      </c>
    </row>
    <row r="4" customFormat="false" ht="15" hidden="false" customHeight="false" outlineLevel="0" collapsed="false">
      <c r="A4" s="6" t="s">
        <v>308</v>
      </c>
      <c r="B4" s="6" t="s">
        <v>309</v>
      </c>
      <c r="C4" s="6" t="s">
        <v>310</v>
      </c>
    </row>
    <row r="5" customFormat="false" ht="15" hidden="false" customHeight="false" outlineLevel="0" collapsed="false">
      <c r="A5" s="6" t="s">
        <v>311</v>
      </c>
      <c r="B5" s="6" t="s">
        <v>312</v>
      </c>
      <c r="C5" s="6" t="s">
        <v>313</v>
      </c>
    </row>
    <row r="6" customFormat="false" ht="15" hidden="false" customHeight="false" outlineLevel="0" collapsed="false">
      <c r="A6" s="6" t="s">
        <v>314</v>
      </c>
      <c r="B6" s="6" t="s">
        <v>315</v>
      </c>
      <c r="C6" s="6" t="s">
        <v>316</v>
      </c>
    </row>
    <row r="7" customFormat="false" ht="15" hidden="false" customHeight="false" outlineLevel="0" collapsed="false">
      <c r="A7" s="6" t="s">
        <v>317</v>
      </c>
      <c r="B7" s="6" t="s">
        <v>318</v>
      </c>
      <c r="C7" s="6" t="s">
        <v>319</v>
      </c>
    </row>
    <row r="8" customFormat="false" ht="15" hidden="false" customHeight="false" outlineLevel="0" collapsed="false">
      <c r="A8" s="6" t="s">
        <v>320</v>
      </c>
      <c r="B8" s="6" t="s">
        <v>321</v>
      </c>
      <c r="C8" s="6" t="s">
        <v>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2026-09-01T04:46:25Z</dcterms:created>
  <dc:creator>openpyxl</dc:creator>
  <dc:description/>
  <dc:language>en-US</dc:language>
  <cp:lastModifiedBy/>
  <dcterms:modified xsi:type="dcterms:W3CDTF">2026-09-01T04:46:25Z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